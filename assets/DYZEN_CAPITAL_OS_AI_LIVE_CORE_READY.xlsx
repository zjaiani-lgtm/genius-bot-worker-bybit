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  <sheet xmlns:r="http://schemas.openxmlformats.org/officeDocument/2006/relationships" name="PORTFOLIO_RISK_ENGINE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</row>
    <row r="2">
      <c r="A2" t="inlineStr">
        <is>
          <t>LOW</t>
        </is>
      </c>
      <c r="B2" t="n">
        <v>0.1</v>
      </c>
      <c r="G2">
        <f>B2+H2</f>
        <v/>
      </c>
      <c r="I2">
        <f>IF(H2&lt;0.001,"HIGH","LOW")</f>
        <v/>
      </c>
      <c r="J2">
        <f>G2*0.5</f>
        <v/>
      </c>
    </row>
    <row r="3">
      <c r="A3" t="inlineStr">
        <is>
          <t>NORMAL</t>
        </is>
      </c>
      <c r="B3" t="n">
        <v>0.15</v>
      </c>
      <c r="G3">
        <f>B3+H3</f>
        <v/>
      </c>
      <c r="I3">
        <f>IF(H3&lt;0.001,"HIGH","LOW")</f>
        <v/>
      </c>
      <c r="J3">
        <f>G3*0.5</f>
        <v/>
      </c>
    </row>
    <row r="4">
      <c r="A4" t="inlineStr">
        <is>
          <t>EXTREME</t>
        </is>
      </c>
      <c r="B4" t="n">
        <v>0.3</v>
      </c>
      <c r="G4">
        <f>B4+H4</f>
        <v/>
      </c>
      <c r="I4">
        <f>IF(H4&lt;0.001,"HIGH","LOW")</f>
        <v/>
      </c>
      <c r="J4">
        <f>G4*0.5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B5+H5</f>
        <v/>
      </c>
      <c r="I5">
        <f>IF(H5&lt;0.001,"HIGH","LOW")</f>
        <v/>
      </c>
      <c r="J5">
        <f>G5*0.5</f>
        <v/>
      </c>
    </row>
    <row r="6">
      <c r="E6">
        <f>(D2-C2)/C2</f>
        <v/>
      </c>
      <c r="F6">
        <f>IF(ABS(E2)&gt;0.002,"HIGH_SLIPPAGE","OK")</f>
        <v/>
      </c>
      <c r="G6">
        <f>B6+H6</f>
        <v/>
      </c>
      <c r="I6">
        <f>IF(H6&lt;0.001,"HIGH","LOW")</f>
        <v/>
      </c>
      <c r="J6">
        <f>G6*0.5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IF(AND(F2, D2&lt;E2), B2*0.01, 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2026-02-23T12:50:08Z</dcterms:modified>
  <cp:lastModifiedBy>Zezva</cp:lastModifiedBy>
</cp:coreProperties>
</file>