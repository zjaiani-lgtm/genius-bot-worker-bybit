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JORJ ZEZVA JAIANI FOLDER\TEQNO PROJECTS\DYZEN VENTURES\ფორმულა 2\DYZEN CAPITAL\ტრეიდინგი\21 თებერვალი ბაიბიტ BYBIT\assets\"/>
    </mc:Choice>
  </mc:AlternateContent>
  <xr:revisionPtr revIDLastSave="0" documentId="13_ncr:1_{68034B7A-365E-40D7-898E-EF8942CF2CEF}" xr6:coauthVersionLast="47" xr6:coauthVersionMax="47" xr10:uidLastSave="{00000000-0000-0000-0000-000000000000}"/>
  <bookViews>
    <workbookView xWindow="4530" yWindow="4215" windowWidth="21600" windowHeight="11385" activeTab="1" xr2:uid="{00000000-000D-0000-FFFF-FFFF00000000}"/>
  </bookViews>
  <sheets>
    <sheet name="README" sheetId="1" r:id="rId1"/>
    <sheet name="WEIGHT_THRESHOLD_MATRIX" sheetId="2" r:id="rId2"/>
    <sheet name="SIGNAL_OUTBOX" sheetId="3" r:id="rId3"/>
    <sheet name="VOLATILITY_REGIME" sheetId="4" r:id="rId4"/>
    <sheet name="TRADE_FREQUENCY_GOVERNOR" sheetId="5" r:id="rId5"/>
    <sheet name="CAPITAL_PRESERVATION_MODE" sheetId="6" r:id="rId6"/>
    <sheet name="SLIPPAGE_CONTROL" sheetId="7" r:id="rId7"/>
    <sheet name="ROLLING_EDGE_MONITOR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8" l="1"/>
  <c r="E2" i="8" s="1"/>
  <c r="F6" i="7"/>
  <c r="E6" i="7"/>
  <c r="F2" i="5"/>
</calcChain>
</file>

<file path=xl/sharedStrings.xml><?xml version="1.0" encoding="utf-8"?>
<sst xmlns="http://schemas.openxmlformats.org/spreadsheetml/2006/main" count="66" uniqueCount="52">
  <si>
    <t>GENIUS BOT HYBRID TOPURIA MODE</t>
  </si>
  <si>
    <t>Balanced-Aggressive with Controlled Frequency</t>
  </si>
  <si>
    <t>Optimized for excel_live_core.py</t>
  </si>
  <si>
    <t>Design Goals:</t>
  </si>
  <si>
    <t>- Higher trade frequency than swing mode</t>
  </si>
  <si>
    <t>- Still capital protected</t>
  </si>
  <si>
    <t>- Fee-aware edge</t>
  </si>
  <si>
    <t>- Works well on 15m timeframe</t>
  </si>
  <si>
    <t>component</t>
  </si>
  <si>
    <t>weight</t>
  </si>
  <si>
    <t>threshold</t>
  </si>
  <si>
    <t>trend strength</t>
  </si>
  <si>
    <t>structure validation</t>
  </si>
  <si>
    <t>TRUE</t>
  </si>
  <si>
    <t>volume confirmation</t>
  </si>
  <si>
    <t>risk state modifier</t>
  </si>
  <si>
    <t>OK</t>
  </si>
  <si>
    <t>confidence score</t>
  </si>
  <si>
    <t>volatility regime</t>
  </si>
  <si>
    <t>NORMAL</t>
  </si>
  <si>
    <t>timestamp</t>
  </si>
  <si>
    <t>symbol</t>
  </si>
  <si>
    <t>note</t>
  </si>
  <si>
    <t>2026-02-21 19:00:21</t>
  </si>
  <si>
    <t>ETH/USDT</t>
  </si>
  <si>
    <t>TOPURIA_TEST_SIGNAL</t>
  </si>
  <si>
    <t>REGIME</t>
  </si>
  <si>
    <t>ATR_MIN</t>
  </si>
  <si>
    <t>LOW</t>
  </si>
  <si>
    <t>EXTREME</t>
  </si>
  <si>
    <t>volatility</t>
  </si>
  <si>
    <t>regime</t>
  </si>
  <si>
    <t>spread</t>
  </si>
  <si>
    <t>allow_trade</t>
  </si>
  <si>
    <t>MODE</t>
  </si>
  <si>
    <t>MAX_RISK</t>
  </si>
  <si>
    <t>DEFENSIVE</t>
  </si>
  <si>
    <t>CRISIS</t>
  </si>
  <si>
    <t>capital_state</t>
  </si>
  <si>
    <t>protection_level</t>
  </si>
  <si>
    <t>trading_allowed</t>
  </si>
  <si>
    <t>VOL_REGIME</t>
  </si>
  <si>
    <t>SLIPPAGE_PCT</t>
  </si>
  <si>
    <t>expected_price</t>
  </si>
  <si>
    <t>fill_price</t>
  </si>
  <si>
    <t>slippage_pct</t>
  </si>
  <si>
    <t>slippage_flag</t>
  </si>
  <si>
    <t>trade_id</t>
  </si>
  <si>
    <t>pnl</t>
  </si>
  <si>
    <t>rolling_trades</t>
  </si>
  <si>
    <t>rolling_edge</t>
  </si>
  <si>
    <t>edge_state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</si>
</sst>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G10" sqref="G10"/>
    </sheetView>
  </sheetViews>
  <sheetFormatPr defaultRowHeight="15" x14ac:dyDescent="0.25"/>
  <cols>
    <col min="1" max="1" width="28.42578125" customWidth="1"/>
  </cols>
  <sheetData>
    <row r="1" spans="1:3" x14ac:dyDescent="0.25">
      <c r="A1" t="s">
        <v>8</v>
      </c>
      <c r="B1" t="s">
        <v>9</v>
      </c>
      <c r="C1" t="s">
        <v>10</v>
      </c>
    </row>
    <row r="2" spans="1:3" x14ac:dyDescent="0.25">
      <c r="A2" t="s">
        <v>11</v>
      </c>
      <c r="B2">
        <v>0.27</v>
      </c>
      <c r="C2">
        <v>0.25</v>
      </c>
    </row>
    <row r="3" spans="1:3" x14ac:dyDescent="0.25">
      <c r="A3" t="s">
        <v>12</v>
      </c>
      <c r="B3">
        <v>0.22</v>
      </c>
      <c r="C3" t="s">
        <v>13</v>
      </c>
    </row>
    <row r="4" spans="1:3" x14ac:dyDescent="0.25">
      <c r="A4" t="s">
        <v>14</v>
      </c>
      <c r="B4">
        <v>0.16</v>
      </c>
      <c r="C4">
        <v>0.3</v>
      </c>
    </row>
    <row r="5" spans="1:3" x14ac:dyDescent="0.25">
      <c r="A5" t="s">
        <v>15</v>
      </c>
      <c r="B5">
        <v>0.13</v>
      </c>
      <c r="C5" t="s">
        <v>16</v>
      </c>
    </row>
    <row r="6" spans="1:3" x14ac:dyDescent="0.25">
      <c r="A6" t="s">
        <v>17</v>
      </c>
      <c r="B6">
        <v>0.14000000000000001</v>
      </c>
      <c r="C6">
        <v>0.45</v>
      </c>
    </row>
    <row r="7" spans="1:3" x14ac:dyDescent="0.25">
      <c r="A7" t="s">
        <v>18</v>
      </c>
      <c r="B7">
        <v>0.08</v>
      </c>
      <c r="C7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24</v>
      </c>
      <c r="C2" t="s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workbookViewId="0"/>
  </sheetViews>
  <sheetFormatPr defaultRowHeight="15" x14ac:dyDescent="0.25"/>
  <sheetData>
    <row r="1" spans="1:4" x14ac:dyDescent="0.25">
      <c r="A1" t="s">
        <v>26</v>
      </c>
      <c r="B1" t="s">
        <v>27</v>
      </c>
    </row>
    <row r="2" spans="1:4" x14ac:dyDescent="0.25">
      <c r="A2" t="s">
        <v>28</v>
      </c>
      <c r="B2">
        <v>0.2</v>
      </c>
    </row>
    <row r="3" spans="1:4" x14ac:dyDescent="0.25">
      <c r="A3" t="s">
        <v>19</v>
      </c>
      <c r="B3">
        <v>0.25</v>
      </c>
    </row>
    <row r="4" spans="1:4" x14ac:dyDescent="0.25">
      <c r="A4" t="s">
        <v>29</v>
      </c>
      <c r="B4">
        <v>0.4</v>
      </c>
    </row>
    <row r="5" spans="1:4" x14ac:dyDescent="0.25">
      <c r="A5" t="s">
        <v>20</v>
      </c>
      <c r="B5" t="s">
        <v>21</v>
      </c>
      <c r="C5" t="s">
        <v>30</v>
      </c>
      <c r="D5" t="s">
        <v>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/>
  </sheetViews>
  <sheetFormatPr defaultRowHeight="15" x14ac:dyDescent="0.25"/>
  <sheetData>
    <row r="1" spans="1:6" x14ac:dyDescent="0.25">
      <c r="A1" t="s">
        <v>20</v>
      </c>
      <c r="B1" t="s">
        <v>21</v>
      </c>
      <c r="C1" t="s">
        <v>30</v>
      </c>
      <c r="D1" t="s">
        <v>32</v>
      </c>
      <c r="E1" t="s">
        <v>31</v>
      </c>
      <c r="F1" t="s">
        <v>33</v>
      </c>
    </row>
    <row r="2" spans="1:6" x14ac:dyDescent="0.25">
      <c r="F2" t="str">
        <f>IF(OR(C2&gt;0.08,D2&gt;0.002,E2="CHAOTIC"),"BLOCK","ALLOW")</f>
        <v>ALLOW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/>
  </sheetViews>
  <sheetFormatPr defaultRowHeight="15" x14ac:dyDescent="0.25"/>
  <sheetData>
    <row r="1" spans="1:4" x14ac:dyDescent="0.25">
      <c r="A1" t="s">
        <v>34</v>
      </c>
      <c r="B1" t="s">
        <v>35</v>
      </c>
    </row>
    <row r="2" spans="1:4" x14ac:dyDescent="0.25">
      <c r="A2" t="s">
        <v>19</v>
      </c>
      <c r="B2">
        <v>1</v>
      </c>
    </row>
    <row r="3" spans="1:4" x14ac:dyDescent="0.25">
      <c r="A3" t="s">
        <v>36</v>
      </c>
      <c r="B3">
        <v>0.7</v>
      </c>
    </row>
    <row r="4" spans="1:4" x14ac:dyDescent="0.25">
      <c r="A4" t="s">
        <v>37</v>
      </c>
      <c r="B4">
        <v>0.4</v>
      </c>
    </row>
    <row r="5" spans="1:4" x14ac:dyDescent="0.25">
      <c r="A5" t="s">
        <v>20</v>
      </c>
      <c r="B5" t="s">
        <v>38</v>
      </c>
      <c r="C5" t="s">
        <v>39</v>
      </c>
      <c r="D5" t="s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/>
  </sheetViews>
  <sheetFormatPr defaultRowHeight="15" x14ac:dyDescent="0.25"/>
  <sheetData>
    <row r="1" spans="1:6" x14ac:dyDescent="0.25">
      <c r="A1" t="s">
        <v>41</v>
      </c>
      <c r="B1" t="s">
        <v>42</v>
      </c>
    </row>
    <row r="2" spans="1:6" x14ac:dyDescent="0.25">
      <c r="A2" t="s">
        <v>28</v>
      </c>
      <c r="B2">
        <v>0.1</v>
      </c>
    </row>
    <row r="3" spans="1:6" x14ac:dyDescent="0.25">
      <c r="A3" t="s">
        <v>19</v>
      </c>
      <c r="B3">
        <v>0.15</v>
      </c>
    </row>
    <row r="4" spans="1:6" x14ac:dyDescent="0.25">
      <c r="A4" t="s">
        <v>29</v>
      </c>
      <c r="B4">
        <v>0.3</v>
      </c>
    </row>
    <row r="5" spans="1:6" x14ac:dyDescent="0.25">
      <c r="A5" t="s">
        <v>20</v>
      </c>
      <c r="B5" t="s">
        <v>21</v>
      </c>
      <c r="C5" t="s">
        <v>43</v>
      </c>
      <c r="D5" t="s">
        <v>44</v>
      </c>
      <c r="E5" t="s">
        <v>45</v>
      </c>
      <c r="F5" t="s">
        <v>46</v>
      </c>
    </row>
    <row r="6" spans="1:6" x14ac:dyDescent="0.25">
      <c r="E6" t="e">
        <f>(D2-C2)/C2</f>
        <v>#DIV/0!</v>
      </c>
      <c r="F6" t="str">
        <f>IF(ABS(E2)&gt;0.002,"HIGH_SLIPPAGE","OK")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"/>
  <sheetViews>
    <sheetView workbookViewId="0"/>
  </sheetViews>
  <sheetFormatPr defaultRowHeight="15" x14ac:dyDescent="0.25"/>
  <sheetData>
    <row r="1" spans="1:5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25">
      <c r="C2">
        <v>30</v>
      </c>
      <c r="D2" t="e">
        <f>AVERAGE(B2:INDEX(B:B,ROW()+C2-1))</f>
        <v>#DIV/0!</v>
      </c>
      <c r="E2" t="e">
        <f>IF(D2&lt;0,"EDGE_WEAK","EDGE_OK")</f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WEIGHT_THRESHOLD_MATRIX</vt:lpstr>
      <vt:lpstr>SIGNAL_OUTBOX</vt:lpstr>
      <vt:lpstr>VOLATILITY_REGIME</vt:lpstr>
      <vt:lpstr>TRADE_FREQUENCY_GOVERNOR</vt:lpstr>
      <vt:lpstr>CAPITAL_PRESERVATION_MODE</vt:lpstr>
      <vt:lpstr>SLIPPAGE_CONTROL</vt:lpstr>
      <vt:lpstr>ROLLING_EDGE_MONITOR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Zezva</cp:lastModifiedBy>
  <dcterms:created xsi:type="dcterms:W3CDTF">2026-02-21T09:40:44Z</dcterms:created>
  <dcterms:modified xsi:type="dcterms:W3CDTF">2026-02-23T08:52:21Z</dcterms:modified>
</cp:coreProperties>
</file>