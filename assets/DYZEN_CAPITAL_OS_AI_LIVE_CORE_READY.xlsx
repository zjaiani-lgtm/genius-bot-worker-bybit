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56" activeTab="6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hidden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hidden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hidden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hidden" r:id="rId29"/>
    <sheet xmlns:r="http://schemas.openxmlformats.org/officeDocument/2006/relationships" name="PARALLEL_BACKTEST_MATRIX" sheetId="30" state="hidden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hidden" r:id="rId34"/>
    <sheet xmlns:r="http://schemas.openxmlformats.org/officeDocument/2006/relationships" name="PARAMETER_BREEDING_LAB" sheetId="35" state="hidden" r:id="rId35"/>
    <sheet xmlns:r="http://schemas.openxmlformats.org/officeDocument/2006/relationships" name="DNA_SWAP_MATRIX" sheetId="36" state="hidden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hidden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CONFIG_CORE" sheetId="63" state="visible" r:id="rId63"/>
    <sheet xmlns:r="http://schemas.openxmlformats.org/officeDocument/2006/relationships" name="RISK_ENGINE" sheetId="64" state="visible" r:id="rId64"/>
    <sheet xmlns:r="http://schemas.openxmlformats.org/officeDocument/2006/relationships" name="POSITION_ENGINE" sheetId="65" state="visible" r:id="rId65"/>
    <sheet xmlns:r="http://schemas.openxmlformats.org/officeDocument/2006/relationships" name="TP_ENGINE" sheetId="66" state="visible" r:id="rId66"/>
    <sheet xmlns:r="http://schemas.openxmlformats.org/officeDocument/2006/relationships" name="KILL_SWITCH" sheetId="67" state="visible" r:id="rId67"/>
    <sheet xmlns:r="http://schemas.openxmlformats.org/officeDocument/2006/relationships" name="TRADE_FIREWALL" sheetId="68" state="visible" r:id="rId68"/>
    <sheet xmlns:r="http://schemas.openxmlformats.org/officeDocument/2006/relationships" name="AUTO_WIRE_MAP" sheetId="69" state="visible" r:id="rId69"/>
    <sheet xmlns:r="http://schemas.openxmlformats.org/officeDocument/2006/relationships" name="STRAT_VISIBILITY_PANEL" sheetId="70" state="visible" r:id="rId70"/>
  </sheets>
  <externalReferences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  <externalReference xmlns:r="http://schemas.openxmlformats.org/officeDocument/2006/relationships" r:id="rId75"/>
    <externalReference xmlns:r="http://schemas.openxmlformats.org/officeDocument/2006/relationships" r:id="rId76"/>
    <externalReference xmlns:r="http://schemas.openxmlformats.org/officeDocument/2006/relationships" r:id="rId77"/>
    <externalReference xmlns:r="http://schemas.openxmlformats.org/officeDocument/2006/relationships" r:id="rId78"/>
    <externalReference xmlns:r="http://schemas.openxmlformats.org/officeDocument/2006/relationships" r:id="rId79"/>
    <externalReference xmlns:r="http://schemas.openxmlformats.org/officeDocument/2006/relationships" r:id="rId80"/>
    <externalReference xmlns:r="http://schemas.openxmlformats.org/officeDocument/2006/relationships" r:id="rId81"/>
    <externalReference xmlns:r="http://schemas.openxmlformats.org/officeDocument/2006/relationships" r:id="rId82"/>
    <externalReference xmlns:r="http://schemas.openxmlformats.org/officeDocument/2006/relationships" r:id="rId83"/>
    <externalReference xmlns:r="http://schemas.openxmlformats.org/officeDocument/2006/relationships" r:id="rId8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externalLink" Target="/xl/externalLinks/externalLink1.xml" Id="rId71"/><Relationship Type="http://schemas.openxmlformats.org/officeDocument/2006/relationships/externalLink" Target="/xl/externalLinks/externalLink2.xml" Id="rId72"/><Relationship Type="http://schemas.openxmlformats.org/officeDocument/2006/relationships/externalLink" Target="/xl/externalLinks/externalLink3.xml" Id="rId73"/><Relationship Type="http://schemas.openxmlformats.org/officeDocument/2006/relationships/externalLink" Target="/xl/externalLinks/externalLink4.xml" Id="rId74"/><Relationship Type="http://schemas.openxmlformats.org/officeDocument/2006/relationships/externalLink" Target="/xl/externalLinks/externalLink5.xml" Id="rId75"/><Relationship Type="http://schemas.openxmlformats.org/officeDocument/2006/relationships/externalLink" Target="/xl/externalLinks/externalLink6.xml" Id="rId76"/><Relationship Type="http://schemas.openxmlformats.org/officeDocument/2006/relationships/externalLink" Target="/xl/externalLinks/externalLink7.xml" Id="rId77"/><Relationship Type="http://schemas.openxmlformats.org/officeDocument/2006/relationships/externalLink" Target="/xl/externalLinks/externalLink8.xml" Id="rId78"/><Relationship Type="http://schemas.openxmlformats.org/officeDocument/2006/relationships/externalLink" Target="/xl/externalLinks/externalLink9.xml" Id="rId79"/><Relationship Type="http://schemas.openxmlformats.org/officeDocument/2006/relationships/externalLink" Target="/xl/externalLinks/externalLink10.xml" Id="rId80"/><Relationship Type="http://schemas.openxmlformats.org/officeDocument/2006/relationships/externalLink" Target="/xl/externalLinks/externalLink11.xml" Id="rId81"/><Relationship Type="http://schemas.openxmlformats.org/officeDocument/2006/relationships/externalLink" Target="/xl/externalLinks/externalLink12.xml" Id="rId82"/><Relationship Type="http://schemas.openxmlformats.org/officeDocument/2006/relationships/externalLink" Target="/xl/externalLinks/externalLink13.xml" Id="rId83"/><Relationship Type="http://schemas.openxmlformats.org/officeDocument/2006/relationships/externalLink" Target="/xl/externalLinks/externalLink14.xml" Id="rId84"/><Relationship Type="http://schemas.openxmlformats.org/officeDocument/2006/relationships/styles" Target="styles.xml" Id="rId85"/><Relationship Type="http://schemas.openxmlformats.org/officeDocument/2006/relationships/theme" Target="theme/theme1.xml" Id="rId8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GIME_ENGINE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DRAWDOWN_ENGINE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FAILURE_ARCHITECTURE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OPEN_RISK_ENGINE" TargetMode="External" Id="rId1"/></Relationships>
</file>

<file path=xl/externalLinks/_rels/externalLink5.xml.rels><Relationships xmlns="http://schemas.openxmlformats.org/package/2006/relationships"><Relationship Type="http://schemas.microsoft.com/office/2006/relationships/xlExternalLinkPath/xlPathMissing" Target="RISK_CORE" TargetMode="External" Id="rId1"/></Relationships>
</file>

<file path=xl/externalLinks/_rels/externalLink6.xml.rels><Relationships xmlns="http://schemas.openxmlformats.org/package/2006/relationships"><Relationship Type="http://schemas.microsoft.com/office/2006/relationships/xlExternalLinkPath/xlPathMissing" Target="DATA_PRICES" TargetMode="External" Id="rId1"/></Relationships>
</file>

<file path=xl/externalLinks/_rels/externalLink7.xml.rels><Relationships xmlns="http://schemas.openxmlformats.org/package/2006/relationships"><Relationship Type="http://schemas.microsoft.com/office/2006/relationships/xlExternalLinkPath/xlPathMissing" Target="EXIT_ENGINE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DOMINANCE_ENGINE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EXECUTION_ENGINE" TargetMode="External" Id="rId1"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RETURNS_OWNERSHIP" TargetMode="External" Id="rId1"/></Relationships>
</file>

<file path=xl/externalLinks/_rels/externalLink11.xml.rels><Relationships xmlns="http://schemas.openxmlformats.org/package/2006/relationships"><Relationship Type="http://schemas.microsoft.com/office/2006/relationships/xlExternalLinkPath/xlPathMissing" Target="SELL_PROFILE_FIXED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SELL_PROFILE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MARKET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EXECUTION_REALITY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EGIME_ENGINE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RAWDOWN_ENGINE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FAILURE_ARCHITECTURE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OPEN_RISK_ENGINE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RISK_CORE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ATA_PRICES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EXIT_ENGINE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DOMINANCE_ENGINE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XECUTION_ENGINE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RETURNS_OWNERSHIP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SELL_PROFILE_FIXED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SELL_PROFILE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MARKET"/>
    </sheetNames>
    <sheetDataSet>
      <sheetData sheetId="0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EXECUTION_REALITY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B3*[1]REGIME_ENGINE!B9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B4*[2]DRAWDOWN_ENGINE!B8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IF(AND([3]FAILURE_ARCHITECTURE!B6="ACTIVE",[2]DRAWDOWN_ENGINE!B6&lt;&gt;"CRITICAL"),"APPROVED","REJECTED")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[4]OPEN_RISK_ENGINE!B9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[1]REGIME_ENGINE!B7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[2]DRAWDOWN_ENGINE!B6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[4]OPEN_RISK_ENGINE!B9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[5]RISK_CORE!F2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IF(AND(A2="BULLISH",[1]REGIME_ENGINE!G2&lt;&gt;"CHOP",[5]RISK_CORE!G2=TRUE),"BUY","WAIT")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IF(AND(A2=TRUE,[1]REGIME_ENGINE!G2&lt;&gt;"CHOP"),"SHORT","WAIT")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IF([1]REGIME_ENGINE!G2="TREND",1,IF([1]REGIME_ENGINE!G2="EXPANSION",1.2,0.5))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[5]RISK_CORE!H2="DEFENSIVE"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IF([6]DATA_PRICES!A2&lt;[6]DATA_PRICES!H2,"SELL_ZONE","BUY_ZONE")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IF(AND(A2="BULLISH",[1]REGIME_ENGINE!D2="TREND"),"BUY","WAIT")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[1]REGIME_ENGINE!D2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([7]EXIT_ENGINE!B28*[8]DOMINANCE_ENGINE!B15*[9]EXECUTION_ENGINE!B14)/(RISK_ENGINE!B16*[10]RETURNS_OWNERSHIP!B12)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([7]EXIT_ENGINE!B28*MIN(1,[9]EXECUTION_ENGINE!B14*B5)*MIN(1,[8]DOMINANCE_ENGINE!B15*C5))/(MAX(1,RISK_ENGINE!B16*D5)*E5)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([7]EXIT_ENGINE!B28*MIN(1,[9]EXECUTION_ENGINE!B14*B6)*MIN(1,[8]DOMINANCE_ENGINE!B15*C6))/(MAX(1,RISK_ENGINE!B16*D6)*E6)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([7]EXIT_ENGINE!B28*MIN(1,[9]EXECUTION_ENGINE!B14*B7)*MIN(1,[8]DOMINANCE_ENGINE!B15*C7))/(MAX(1,RISK_ENGINE!B16*D7)*E7)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([7]EXIT_ENGINE!B28*MIN(1,[9]EXECUTION_ENGINE!B14*B8)*MIN(1,[8]DOMINANCE_ENGINE!B15*C8))/(MAX(1,RISK_ENGINE!B16*D8)*E8)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[11]SELL_PROFILE_FIXED!M2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[11]SELL_PROFILE_FIXED!N2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[12]SELL_PROFILE!B2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AND(RISK_ENGINE!B2="ALERT",[13]MARKET!B2="VOL_SPIKE")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[11]SELL_PROFILE_FIXED!M2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[11]SELL_PROFILE_FIXED!N2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[12]SELL_PROFILE!B2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AND(RISK_ENGINE!B2="ALERT",[13]MARKET!B2="VOL_SPIKE")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[11]SELL_PROFILE_FIXED!M2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[11]SELL_PROFILE_FIXED!N2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[12]SELL_PROFILE!B2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AND(RISK_ENGINE!B2="ALERT",[13]MARKET!B2="VOL_SPIKE")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[11]SELL_PROFILE_FIXED!M2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[11]SELL_PROFILE_FIXED!N2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[12]SELL_PROFILE!B2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AND(RISK_ENGINE!B2="ALERT",[13]MARKET!B2="VOL_SPIKE")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[11]SELL_PROFILE_FIXED!M2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[11]SELL_PROFILE_FIXED!N2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[12]SELL_PROFILE!B2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AND(RISK_ENGINE!B2="ALERT",[13]MARKET!B2="VOL_SPIKE")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[11]SELL_PROFILE_FIXED!M2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[11]SELL_PROFILE_FIXED!N2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[12]SELL_PROFILE!B2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AND(RISK_ENGINE!B2="ALERT",[13]MARKET!B2="VOL_SPIKE")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[11]SELL_PROFILE_FIXED!M2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[11]SELL_PROFILE_FIXED!N2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[12]SELL_PROFILE!B2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AND(RISK_ENGINE!B2="ALERT",[13]MARKET!B2="VOL_SPIKE")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IF(C2&gt;0.2,"CRISIS",IF(C2&gt;0.1,"WARNING","STABLE"))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K10" sqref="K10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E199"/>
  <sheetViews>
    <sheetView tabSelected="1" workbookViewId="0">
      <selection activeCell="G6" sqref="G6"/>
    </sheetView>
  </sheetViews>
  <sheetFormatPr baseColWidth="8" defaultRowHeight="15"/>
  <cols>
    <col width="17.140625" customWidth="1" min="5" max="5"/>
  </cols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  <c r="E1" t="inlineStr">
        <is>
          <t>Active Strategy</t>
        </is>
      </c>
    </row>
    <row r="2">
      <c r="A2" t="inlineStr">
        <is>
          <t>STRAT_1</t>
        </is>
      </c>
      <c r="B2">
        <f>AI_MASTER_LIVE_DECISION!B2</f>
        <v/>
      </c>
      <c r="C2">
        <f>RANK(B2,$B$2:$B$6,0)</f>
        <v/>
      </c>
      <c r="D2">
        <f>IF(C2&lt;=2,"YES","NO")</f>
        <v/>
      </c>
      <c r="E2">
        <f>IF(OR(D2="YES",C2&gt;=1,AI_MASTER_LIVE_DECISION!A2&gt;=0.48),"YES","NO")</f>
        <v/>
      </c>
    </row>
    <row r="3">
      <c r="A3" t="inlineStr">
        <is>
          <t>STRAT_2</t>
        </is>
      </c>
      <c r="B3">
        <f>AI_MASTER_LIVE_DECISION!B2*0.999</f>
        <v/>
      </c>
      <c r="C3">
        <f>RANK(B3,$B$2:$B$6,0)</f>
        <v/>
      </c>
      <c r="D3">
        <f>IF(C3&lt;=2,"YES","NO")</f>
        <v/>
      </c>
      <c r="E3">
        <f>IF(OR(D3="YES",C3&gt;=1,AI_MASTER_LIVE_DECISION!A3&gt;=0.48),"YES","NO")</f>
        <v/>
      </c>
    </row>
    <row r="4">
      <c r="A4" t="inlineStr">
        <is>
          <t>STRAT_3</t>
        </is>
      </c>
      <c r="B4">
        <f>AI_MASTER_LIVE_DECISION!B2*0.998</f>
        <v/>
      </c>
      <c r="C4">
        <f>RANK(B4,$B$2:$B$6,0)</f>
        <v/>
      </c>
      <c r="D4">
        <f>IF(C4&lt;=2,"YES","NO")</f>
        <v/>
      </c>
      <c r="E4">
        <f>IF(OR(D4="YES",C4&gt;=1,AI_MASTER_LIVE_DECISION!A4&gt;=0.48),"YES","NO")</f>
        <v/>
      </c>
    </row>
    <row r="5">
      <c r="A5" t="inlineStr">
        <is>
          <t>STRAT_4</t>
        </is>
      </c>
      <c r="B5">
        <f>AI_MASTER_LIVE_DECISION!B2*0.997</f>
        <v/>
      </c>
      <c r="C5">
        <f>RANK(B5,$B$2:$B$6,0)</f>
        <v/>
      </c>
      <c r="D5">
        <f>IF(C5&lt;=2,"YES","NO")</f>
        <v/>
      </c>
      <c r="E5">
        <f>IF(OR(D5="YES",C5&gt;=1,AI_MASTER_LIVE_DECISION!A5&gt;=0.48),"YES","NO")</f>
        <v/>
      </c>
    </row>
    <row r="6">
      <c r="A6" t="inlineStr">
        <is>
          <t>STRAT_5</t>
        </is>
      </c>
      <c r="B6">
        <f>AI_MASTER_LIVE_DECISION!B2*0.996</f>
        <v/>
      </c>
      <c r="C6">
        <f>RANK(B6,$B$2:$B$6,0)</f>
        <v/>
      </c>
      <c r="D6">
        <f>IF(C6&lt;=2,"YES","NO")</f>
        <v/>
      </c>
      <c r="E6">
        <f>IF(OR(D6="YES",C6&gt;=1,AI_MASTER_LIVE_DECISION!A6&gt;=0.48),"YES","NO")</f>
        <v/>
      </c>
    </row>
    <row r="7">
      <c r="E7">
        <f>IF(OR(D7="YES",C7&gt;=1,AI_MASTER_LIVE_DECISION!A7&gt;=0.48),"YES","NO")</f>
        <v/>
      </c>
    </row>
    <row r="8">
      <c r="E8">
        <f>IF(OR(D8="YES",C8&gt;=1,AI_MASTER_LIVE_DECISION!A8&gt;=0.48),"YES","NO")</f>
        <v/>
      </c>
    </row>
    <row r="9">
      <c r="E9">
        <f>IF(OR(D9="YES",C9&gt;=1,AI_MASTER_LIVE_DECISION!A9&gt;=0.48),"YES","NO")</f>
        <v/>
      </c>
    </row>
    <row r="10">
      <c r="E10">
        <f>IF(OR(D10="YES",C10&gt;=1,AI_MASTER_LIVE_DECISION!A10&gt;=0.48),"YES","NO")</f>
        <v/>
      </c>
    </row>
    <row r="11">
      <c r="E11">
        <f>IF(OR(D11="YES",C11&gt;=1,AI_MASTER_LIVE_DECISION!A11&gt;=0.48),"YES","NO")</f>
        <v/>
      </c>
    </row>
    <row r="12">
      <c r="E12">
        <f>IF(OR(D12="YES",C12&gt;=1,AI_MASTER_LIVE_DECISION!A12&gt;=0.48),"YES","NO")</f>
        <v/>
      </c>
    </row>
    <row r="13">
      <c r="E13">
        <f>IF(OR(D13="YES",C13&gt;=1,AI_MASTER_LIVE_DECISION!A13&gt;=0.48),"YES","NO")</f>
        <v/>
      </c>
    </row>
    <row r="14">
      <c r="E14">
        <f>IF(OR(D14="YES",C14&gt;=1,AI_MASTER_LIVE_DECISION!A14&gt;=0.48),"YES","NO")</f>
        <v/>
      </c>
    </row>
    <row r="15">
      <c r="E15">
        <f>IF(OR(D15="YES",C15&gt;=1,AI_MASTER_LIVE_DECISION!A15&gt;=0.48),"YES","NO")</f>
        <v/>
      </c>
    </row>
    <row r="16">
      <c r="E16">
        <f>IF(OR(D16="YES",C16&gt;=1,AI_MASTER_LIVE_DECISION!A16&gt;=0.48),"YES","NO")</f>
        <v/>
      </c>
    </row>
    <row r="17">
      <c r="E17">
        <f>IF(OR(D17="YES",C17&gt;=1,AI_MASTER_LIVE_DECISION!A17&gt;=0.48),"YES","NO")</f>
        <v/>
      </c>
    </row>
    <row r="18">
      <c r="E18">
        <f>IF(OR(D18="YES",C18&gt;=1,AI_MASTER_LIVE_DECISION!A18&gt;=0.48),"YES","NO")</f>
        <v/>
      </c>
    </row>
    <row r="19">
      <c r="E19">
        <f>IF(OR(D19="YES",C19&gt;=1,AI_MASTER_LIVE_DECISION!A19&gt;=0.48),"YES","NO")</f>
        <v/>
      </c>
    </row>
    <row r="20">
      <c r="E20">
        <f>IF(OR(D20="YES",C20&gt;=1,AI_MASTER_LIVE_DECISION!A20&gt;=0.48),"YES","NO")</f>
        <v/>
      </c>
    </row>
    <row r="21">
      <c r="E21">
        <f>IF(OR(D21="YES",C21&gt;=1,AI_MASTER_LIVE_DECISION!A21&gt;=0.48),"YES","NO")</f>
        <v/>
      </c>
    </row>
    <row r="22">
      <c r="E22">
        <f>IF(OR(D22="YES",C22&gt;=1,AI_MASTER_LIVE_DECISION!A22&gt;=0.48),"YES","NO")</f>
        <v/>
      </c>
    </row>
    <row r="23">
      <c r="E23">
        <f>IF(OR(D23="YES",C23&gt;=1,AI_MASTER_LIVE_DECISION!A23&gt;=0.48),"YES","NO")</f>
        <v/>
      </c>
    </row>
    <row r="24">
      <c r="E24">
        <f>IF(OR(D24="YES",C24&gt;=1,AI_MASTER_LIVE_DECISION!A24&gt;=0.48),"YES","NO")</f>
        <v/>
      </c>
    </row>
    <row r="25">
      <c r="E25">
        <f>IF(OR(D25="YES",C25&gt;=1,AI_MASTER_LIVE_DECISION!A25&gt;=0.48),"YES","NO")</f>
        <v/>
      </c>
    </row>
    <row r="26">
      <c r="E26">
        <f>IF(OR(D26="YES",C26&gt;=1,AI_MASTER_LIVE_DECISION!A26&gt;=0.48),"YES","NO")</f>
        <v/>
      </c>
    </row>
    <row r="27">
      <c r="E27">
        <f>IF(OR(D27="YES",C27&gt;=1,AI_MASTER_LIVE_DECISION!A27&gt;=0.48),"YES","NO")</f>
        <v/>
      </c>
    </row>
    <row r="28">
      <c r="E28">
        <f>IF(OR(D28="YES",C28&gt;=1,AI_MASTER_LIVE_DECISION!A28&gt;=0.48),"YES","NO")</f>
        <v/>
      </c>
    </row>
    <row r="29">
      <c r="E29">
        <f>IF(OR(D29="YES",C29&gt;=1,AI_MASTER_LIVE_DECISION!A29&gt;=0.48),"YES","NO")</f>
        <v/>
      </c>
    </row>
    <row r="30">
      <c r="E30">
        <f>IF(OR(D30="YES",C30&gt;=1,AI_MASTER_LIVE_DECISION!A30&gt;=0.48),"YES","NO")</f>
        <v/>
      </c>
    </row>
    <row r="31">
      <c r="E31">
        <f>IF(OR(D31="YES",C31&gt;=1,AI_MASTER_LIVE_DECISION!A31&gt;=0.48),"YES","NO")</f>
        <v/>
      </c>
    </row>
    <row r="32">
      <c r="E32">
        <f>IF(OR(D32="YES",C32&gt;=1,AI_MASTER_LIVE_DECISION!A32&gt;=0.48),"YES","NO")</f>
        <v/>
      </c>
    </row>
    <row r="33">
      <c r="E33">
        <f>IF(OR(D33="YES",C33&gt;=1,AI_MASTER_LIVE_DECISION!A33&gt;=0.48),"YES","NO")</f>
        <v/>
      </c>
    </row>
    <row r="34">
      <c r="E34">
        <f>IF(OR(D34="YES",C34&gt;=1,AI_MASTER_LIVE_DECISION!A34&gt;=0.48),"YES","NO")</f>
        <v/>
      </c>
    </row>
    <row r="35">
      <c r="E35">
        <f>IF(OR(D35="YES",C35&gt;=1,AI_MASTER_LIVE_DECISION!A35&gt;=0.48),"YES","NO")</f>
        <v/>
      </c>
    </row>
    <row r="36">
      <c r="E36">
        <f>IF(OR(D36="YES",C36&gt;=1,AI_MASTER_LIVE_DECISION!A36&gt;=0.48),"YES","NO")</f>
        <v/>
      </c>
    </row>
    <row r="37">
      <c r="E37">
        <f>IF(OR(D37="YES",C37&gt;=1,AI_MASTER_LIVE_DECISION!A37&gt;=0.48),"YES","NO")</f>
        <v/>
      </c>
    </row>
    <row r="38">
      <c r="E38">
        <f>IF(OR(D38="YES",C38&gt;=1,AI_MASTER_LIVE_DECISION!A38&gt;=0.48),"YES","NO")</f>
        <v/>
      </c>
    </row>
    <row r="39">
      <c r="E39">
        <f>IF(OR(D39="YES",C39&gt;=1,AI_MASTER_LIVE_DECISION!A39&gt;=0.48),"YES","NO")</f>
        <v/>
      </c>
    </row>
    <row r="40">
      <c r="E40">
        <f>IF(OR(D40="YES",C40&gt;=1,AI_MASTER_LIVE_DECISION!A40&gt;=0.48),"YES","NO")</f>
        <v/>
      </c>
    </row>
    <row r="41">
      <c r="E41">
        <f>IF(OR(D41="YES",C41&gt;=1,AI_MASTER_LIVE_DECISION!A41&gt;=0.48),"YES","NO")</f>
        <v/>
      </c>
    </row>
    <row r="42">
      <c r="E42">
        <f>IF(OR(D42="YES",C42&gt;=1,AI_MASTER_LIVE_DECISION!A42&gt;=0.48),"YES","NO")</f>
        <v/>
      </c>
    </row>
    <row r="43">
      <c r="E43">
        <f>IF(OR(D43="YES",C43&gt;=1,AI_MASTER_LIVE_DECISION!A43&gt;=0.48),"YES","NO")</f>
        <v/>
      </c>
    </row>
    <row r="44">
      <c r="E44">
        <f>IF(OR(D44="YES",C44&gt;=1,AI_MASTER_LIVE_DECISION!A44&gt;=0.48),"YES","NO")</f>
        <v/>
      </c>
    </row>
    <row r="45">
      <c r="E45">
        <f>IF(OR(D45="YES",C45&gt;=1,AI_MASTER_LIVE_DECISION!A45&gt;=0.48),"YES","NO")</f>
        <v/>
      </c>
    </row>
    <row r="46">
      <c r="E46">
        <f>IF(OR(D46="YES",C46&gt;=1,AI_MASTER_LIVE_DECISION!A46&gt;=0.48),"YES","NO")</f>
        <v/>
      </c>
    </row>
    <row r="47">
      <c r="E47">
        <f>IF(OR(D47="YES",C47&gt;=1,AI_MASTER_LIVE_DECISION!A47&gt;=0.48),"YES","NO")</f>
        <v/>
      </c>
    </row>
    <row r="48">
      <c r="E48">
        <f>IF(OR(D48="YES",C48&gt;=1,AI_MASTER_LIVE_DECISION!A48&gt;=0.48),"YES","NO")</f>
        <v/>
      </c>
    </row>
    <row r="49">
      <c r="E49">
        <f>IF(OR(D49="YES",C49&gt;=1,AI_MASTER_LIVE_DECISION!A49&gt;=0.48),"YES","NO")</f>
        <v/>
      </c>
    </row>
    <row r="50">
      <c r="E50">
        <f>IF(OR(D50="YES",C50&gt;=1,AI_MASTER_LIVE_DECISION!A50&gt;=0.48),"YES","NO")</f>
        <v/>
      </c>
    </row>
    <row r="51">
      <c r="E51">
        <f>IF(OR(D51="YES",C51&gt;=1,AI_MASTER_LIVE_DECISION!A51&gt;=0.48),"YES","NO")</f>
        <v/>
      </c>
    </row>
    <row r="52">
      <c r="E52">
        <f>IF(OR(D52="YES",C52&gt;=1,AI_MASTER_LIVE_DECISION!A52&gt;=0.48),"YES","NO")</f>
        <v/>
      </c>
    </row>
    <row r="53">
      <c r="E53">
        <f>IF(OR(D53="YES",C53&gt;=1,AI_MASTER_LIVE_DECISION!A53&gt;=0.48),"YES","NO")</f>
        <v/>
      </c>
    </row>
    <row r="54">
      <c r="E54">
        <f>IF(OR(D54="YES",C54&gt;=1,AI_MASTER_LIVE_DECISION!A54&gt;=0.48),"YES","NO")</f>
        <v/>
      </c>
    </row>
    <row r="55">
      <c r="E55">
        <f>IF(OR(D55="YES",C55&gt;=1,AI_MASTER_LIVE_DECISION!A55&gt;=0.48),"YES","NO")</f>
        <v/>
      </c>
    </row>
    <row r="56">
      <c r="E56">
        <f>IF(OR(D56="YES",C56&gt;=1,AI_MASTER_LIVE_DECISION!A56&gt;=0.48),"YES","NO")</f>
        <v/>
      </c>
    </row>
    <row r="57">
      <c r="E57">
        <f>IF(OR(D57="YES",C57&gt;=1,AI_MASTER_LIVE_DECISION!A57&gt;=0.48),"YES","NO")</f>
        <v/>
      </c>
    </row>
    <row r="58">
      <c r="E58">
        <f>IF(OR(D58="YES",C58&gt;=1,AI_MASTER_LIVE_DECISION!A58&gt;=0.48),"YES","NO")</f>
        <v/>
      </c>
    </row>
    <row r="59">
      <c r="E59">
        <f>IF(OR(D59="YES",C59&gt;=1,AI_MASTER_LIVE_DECISION!A59&gt;=0.48),"YES","NO")</f>
        <v/>
      </c>
    </row>
    <row r="60">
      <c r="E60">
        <f>IF(OR(D60="YES",C60&gt;=1,AI_MASTER_LIVE_DECISION!A60&gt;=0.48),"YES","NO")</f>
        <v/>
      </c>
    </row>
    <row r="61">
      <c r="E61">
        <f>IF(OR(D61="YES",C61&gt;=1,AI_MASTER_LIVE_DECISION!A61&gt;=0.48),"YES","NO")</f>
        <v/>
      </c>
    </row>
    <row r="62">
      <c r="E62">
        <f>IF(OR(D62="YES",C62&gt;=1,AI_MASTER_LIVE_DECISION!A62&gt;=0.48),"YES","NO")</f>
        <v/>
      </c>
    </row>
    <row r="63">
      <c r="E63">
        <f>IF(OR(D63="YES",C63&gt;=1,AI_MASTER_LIVE_DECISION!A63&gt;=0.48),"YES","NO")</f>
        <v/>
      </c>
    </row>
    <row r="64">
      <c r="E64">
        <f>IF(OR(D64="YES",C64&gt;=1,AI_MASTER_LIVE_DECISION!A64&gt;=0.48),"YES","NO")</f>
        <v/>
      </c>
    </row>
    <row r="65">
      <c r="E65">
        <f>IF(OR(D65="YES",C65&gt;=1,AI_MASTER_LIVE_DECISION!A65&gt;=0.48),"YES","NO")</f>
        <v/>
      </c>
    </row>
    <row r="66">
      <c r="E66">
        <f>IF(OR(D66="YES",C66&gt;=1,AI_MASTER_LIVE_DECISION!A66&gt;=0.48),"YES","NO")</f>
        <v/>
      </c>
    </row>
    <row r="67">
      <c r="E67">
        <f>IF(OR(D67="YES",C67&gt;=1,AI_MASTER_LIVE_DECISION!A67&gt;=0.48),"YES","NO")</f>
        <v/>
      </c>
    </row>
    <row r="68">
      <c r="E68">
        <f>IF(OR(D68="YES",C68&gt;=1,AI_MASTER_LIVE_DECISION!A68&gt;=0.48),"YES","NO")</f>
        <v/>
      </c>
    </row>
    <row r="69">
      <c r="E69">
        <f>IF(OR(D69="YES",C69&gt;=1,AI_MASTER_LIVE_DECISION!A69&gt;=0.48),"YES","NO")</f>
        <v/>
      </c>
    </row>
    <row r="70">
      <c r="E70">
        <f>IF(OR(D70="YES",C70&gt;=1,AI_MASTER_LIVE_DECISION!A70&gt;=0.48),"YES","NO")</f>
        <v/>
      </c>
    </row>
    <row r="71">
      <c r="E71">
        <f>IF(OR(D71="YES",C71&gt;=1,AI_MASTER_LIVE_DECISION!A71&gt;=0.48),"YES","NO")</f>
        <v/>
      </c>
    </row>
    <row r="72">
      <c r="E72">
        <f>IF(OR(D72="YES",C72&gt;=1,AI_MASTER_LIVE_DECISION!A72&gt;=0.48),"YES","NO")</f>
        <v/>
      </c>
    </row>
    <row r="73">
      <c r="E73">
        <f>IF(OR(D73="YES",C73&gt;=1,AI_MASTER_LIVE_DECISION!A73&gt;=0.48),"YES","NO")</f>
        <v/>
      </c>
    </row>
    <row r="74">
      <c r="E74">
        <f>IF(OR(D74="YES",C74&gt;=1,AI_MASTER_LIVE_DECISION!A74&gt;=0.48),"YES","NO")</f>
        <v/>
      </c>
    </row>
    <row r="75">
      <c r="E75">
        <f>IF(OR(D75="YES",C75&gt;=1,AI_MASTER_LIVE_DECISION!A75&gt;=0.48),"YES","NO")</f>
        <v/>
      </c>
    </row>
    <row r="76">
      <c r="E76">
        <f>IF(OR(D76="YES",C76&gt;=1,AI_MASTER_LIVE_DECISION!A76&gt;=0.48),"YES","NO")</f>
        <v/>
      </c>
    </row>
    <row r="77">
      <c r="E77">
        <f>IF(OR(D77="YES",C77&gt;=1,AI_MASTER_LIVE_DECISION!A77&gt;=0.48),"YES","NO")</f>
        <v/>
      </c>
    </row>
    <row r="78">
      <c r="E78">
        <f>IF(OR(D78="YES",C78&gt;=1,AI_MASTER_LIVE_DECISION!A78&gt;=0.48),"YES","NO")</f>
        <v/>
      </c>
    </row>
    <row r="79">
      <c r="E79">
        <f>IF(OR(D79="YES",C79&gt;=1,AI_MASTER_LIVE_DECISION!A79&gt;=0.48),"YES","NO")</f>
        <v/>
      </c>
    </row>
    <row r="80">
      <c r="E80">
        <f>IF(OR(D80="YES",C80&gt;=1,AI_MASTER_LIVE_DECISION!A80&gt;=0.48),"YES","NO")</f>
        <v/>
      </c>
    </row>
    <row r="81">
      <c r="E81">
        <f>IF(OR(D81="YES",C81&gt;=1,AI_MASTER_LIVE_DECISION!A81&gt;=0.48),"YES","NO")</f>
        <v/>
      </c>
    </row>
    <row r="82">
      <c r="E82">
        <f>IF(OR(D82="YES",C82&gt;=1,AI_MASTER_LIVE_DECISION!A82&gt;=0.48),"YES","NO")</f>
        <v/>
      </c>
    </row>
    <row r="83">
      <c r="E83">
        <f>IF(OR(D83="YES",C83&gt;=1,AI_MASTER_LIVE_DECISION!A83&gt;=0.48),"YES","NO")</f>
        <v/>
      </c>
    </row>
    <row r="84">
      <c r="E84">
        <f>IF(OR(D84="YES",C84&gt;=1,AI_MASTER_LIVE_DECISION!A84&gt;=0.48),"YES","NO")</f>
        <v/>
      </c>
    </row>
    <row r="85">
      <c r="E85">
        <f>IF(OR(D85="YES",C85&gt;=1,AI_MASTER_LIVE_DECISION!A85&gt;=0.48),"YES","NO")</f>
        <v/>
      </c>
    </row>
    <row r="86">
      <c r="E86">
        <f>IF(OR(D86="YES",C86&gt;=1,AI_MASTER_LIVE_DECISION!A86&gt;=0.48),"YES","NO")</f>
        <v/>
      </c>
    </row>
    <row r="87">
      <c r="E87">
        <f>IF(OR(D87="YES",C87&gt;=1,AI_MASTER_LIVE_DECISION!A87&gt;=0.48),"YES","NO")</f>
        <v/>
      </c>
    </row>
    <row r="88">
      <c r="E88">
        <f>IF(OR(D88="YES",C88&gt;=1,AI_MASTER_LIVE_DECISION!A88&gt;=0.48),"YES","NO")</f>
        <v/>
      </c>
    </row>
    <row r="89">
      <c r="E89">
        <f>IF(OR(D89="YES",C89&gt;=1,AI_MASTER_LIVE_DECISION!A89&gt;=0.48),"YES","NO")</f>
        <v/>
      </c>
    </row>
    <row r="90">
      <c r="E90">
        <f>IF(OR(D90="YES",C90&gt;=1,AI_MASTER_LIVE_DECISION!A90&gt;=0.48),"YES","NO")</f>
        <v/>
      </c>
    </row>
    <row r="91">
      <c r="E91">
        <f>IF(OR(D91="YES",C91&gt;=1,AI_MASTER_LIVE_DECISION!A91&gt;=0.48),"YES","NO")</f>
        <v/>
      </c>
    </row>
    <row r="92">
      <c r="E92">
        <f>IF(OR(D92="YES",C92&gt;=1,AI_MASTER_LIVE_DECISION!A92&gt;=0.48),"YES","NO")</f>
        <v/>
      </c>
    </row>
    <row r="93">
      <c r="E93">
        <f>IF(OR(D93="YES",C93&gt;=1,AI_MASTER_LIVE_DECISION!A93&gt;=0.48),"YES","NO")</f>
        <v/>
      </c>
    </row>
    <row r="94">
      <c r="E94">
        <f>IF(OR(D94="YES",C94&gt;=1,AI_MASTER_LIVE_DECISION!A94&gt;=0.48),"YES","NO")</f>
        <v/>
      </c>
    </row>
    <row r="95">
      <c r="E95">
        <f>IF(OR(D95="YES",C95&gt;=1,AI_MASTER_LIVE_DECISION!A95&gt;=0.48),"YES","NO")</f>
        <v/>
      </c>
    </row>
    <row r="96">
      <c r="E96">
        <f>IF(OR(D96="YES",C96&gt;=1,AI_MASTER_LIVE_DECISION!A96&gt;=0.48),"YES","NO")</f>
        <v/>
      </c>
    </row>
    <row r="97">
      <c r="E97">
        <f>IF(OR(D97="YES",C97&gt;=1,AI_MASTER_LIVE_DECISION!A97&gt;=0.48),"YES","NO")</f>
        <v/>
      </c>
    </row>
    <row r="98">
      <c r="E98">
        <f>IF(OR(D98="YES",C98&gt;=1,AI_MASTER_LIVE_DECISION!A98&gt;=0.48),"YES","NO")</f>
        <v/>
      </c>
    </row>
    <row r="99">
      <c r="E99">
        <f>IF(OR(D99="YES",C99&gt;=1,AI_MASTER_LIVE_DECISION!A99&gt;=0.48),"YES","NO")</f>
        <v/>
      </c>
    </row>
    <row r="100">
      <c r="E100">
        <f>IF(OR(D100="YES",C100&gt;=1,AI_MASTER_LIVE_DECISION!A100&gt;=0.48),"YES","NO")</f>
        <v/>
      </c>
    </row>
    <row r="101">
      <c r="E101">
        <f>IF(OR(D101="YES",C101&gt;=1,AI_MASTER_LIVE_DECISION!A101&gt;=0.48),"YES","NO")</f>
        <v/>
      </c>
    </row>
    <row r="102">
      <c r="E102">
        <f>IF(OR(D102="YES",C102&gt;=1,AI_MASTER_LIVE_DECISION!A102&gt;=0.48),"YES","NO")</f>
        <v/>
      </c>
    </row>
    <row r="103">
      <c r="E103">
        <f>IF(OR(D103="YES",C103&gt;=1,AI_MASTER_LIVE_DECISION!A103&gt;=0.48),"YES","NO")</f>
        <v/>
      </c>
    </row>
    <row r="104">
      <c r="E104">
        <f>IF(OR(D104="YES",C104&gt;=1,AI_MASTER_LIVE_DECISION!A104&gt;=0.48),"YES","NO")</f>
        <v/>
      </c>
    </row>
    <row r="105">
      <c r="E105">
        <f>IF(OR(D105="YES",C105&gt;=1,AI_MASTER_LIVE_DECISION!A105&gt;=0.48),"YES","NO")</f>
        <v/>
      </c>
    </row>
    <row r="106">
      <c r="E106">
        <f>IF(OR(D106="YES",C106&gt;=1,AI_MASTER_LIVE_DECISION!A106&gt;=0.48),"YES","NO")</f>
        <v/>
      </c>
    </row>
    <row r="107">
      <c r="E107">
        <f>IF(OR(D107="YES",C107&gt;=1,AI_MASTER_LIVE_DECISION!A107&gt;=0.48),"YES","NO")</f>
        <v/>
      </c>
    </row>
    <row r="108">
      <c r="E108">
        <f>IF(OR(D108="YES",C108&gt;=1,AI_MASTER_LIVE_DECISION!A108&gt;=0.48),"YES","NO")</f>
        <v/>
      </c>
    </row>
    <row r="109">
      <c r="E109">
        <f>IF(OR(D109="YES",C109&gt;=1,AI_MASTER_LIVE_DECISION!A109&gt;=0.48),"YES","NO")</f>
        <v/>
      </c>
    </row>
    <row r="110">
      <c r="E110">
        <f>IF(OR(D110="YES",C110&gt;=1,AI_MASTER_LIVE_DECISION!A110&gt;=0.48),"YES","NO")</f>
        <v/>
      </c>
    </row>
    <row r="111">
      <c r="E111">
        <f>IF(OR(D111="YES",C111&gt;=1,AI_MASTER_LIVE_DECISION!A111&gt;=0.48),"YES","NO")</f>
        <v/>
      </c>
    </row>
    <row r="112">
      <c r="E112">
        <f>IF(OR(D112="YES",C112&gt;=1,AI_MASTER_LIVE_DECISION!A112&gt;=0.48),"YES","NO")</f>
        <v/>
      </c>
    </row>
    <row r="113">
      <c r="E113">
        <f>IF(OR(D113="YES",C113&gt;=1,AI_MASTER_LIVE_DECISION!A113&gt;=0.48),"YES","NO")</f>
        <v/>
      </c>
    </row>
    <row r="114">
      <c r="E114">
        <f>IF(OR(D114="YES",C114&gt;=1,AI_MASTER_LIVE_DECISION!A114&gt;=0.48),"YES","NO")</f>
        <v/>
      </c>
    </row>
    <row r="115">
      <c r="E115">
        <f>IF(OR(D115="YES",C115&gt;=1,AI_MASTER_LIVE_DECISION!A115&gt;=0.48),"YES","NO")</f>
        <v/>
      </c>
    </row>
    <row r="116">
      <c r="E116">
        <f>IF(OR(D116="YES",C116&gt;=1,AI_MASTER_LIVE_DECISION!A116&gt;=0.48),"YES","NO")</f>
        <v/>
      </c>
    </row>
    <row r="117">
      <c r="E117">
        <f>IF(OR(D117="YES",C117&gt;=1,AI_MASTER_LIVE_DECISION!A117&gt;=0.48),"YES","NO")</f>
        <v/>
      </c>
    </row>
    <row r="118">
      <c r="E118">
        <f>IF(OR(D118="YES",C118&gt;=1,AI_MASTER_LIVE_DECISION!A118&gt;=0.48),"YES","NO")</f>
        <v/>
      </c>
    </row>
    <row r="119">
      <c r="E119">
        <f>IF(OR(D119="YES",C119&gt;=1,AI_MASTER_LIVE_DECISION!A119&gt;=0.48),"YES","NO")</f>
        <v/>
      </c>
    </row>
    <row r="120">
      <c r="E120">
        <f>IF(OR(D120="YES",C120&gt;=1,AI_MASTER_LIVE_DECISION!A120&gt;=0.48),"YES","NO")</f>
        <v/>
      </c>
    </row>
    <row r="121">
      <c r="E121">
        <f>IF(OR(D121="YES",C121&gt;=1,AI_MASTER_LIVE_DECISION!A121&gt;=0.48),"YES","NO")</f>
        <v/>
      </c>
    </row>
    <row r="122">
      <c r="E122">
        <f>IF(OR(D122="YES",C122&gt;=1,AI_MASTER_LIVE_DECISION!A122&gt;=0.48),"YES","NO")</f>
        <v/>
      </c>
    </row>
    <row r="123">
      <c r="E123">
        <f>IF(OR(D123="YES",C123&gt;=1,AI_MASTER_LIVE_DECISION!A123&gt;=0.48),"YES","NO")</f>
        <v/>
      </c>
    </row>
    <row r="124">
      <c r="E124">
        <f>IF(OR(D124="YES",C124&gt;=1,AI_MASTER_LIVE_DECISION!A124&gt;=0.48),"YES","NO")</f>
        <v/>
      </c>
    </row>
    <row r="125">
      <c r="E125">
        <f>IF(OR(D125="YES",C125&gt;=1,AI_MASTER_LIVE_DECISION!A125&gt;=0.48),"YES","NO")</f>
        <v/>
      </c>
    </row>
    <row r="126">
      <c r="E126">
        <f>IF(OR(D126="YES",C126&gt;=1,AI_MASTER_LIVE_DECISION!A126&gt;=0.48),"YES","NO")</f>
        <v/>
      </c>
    </row>
    <row r="127">
      <c r="E127">
        <f>IF(OR(D127="YES",C127&gt;=1,AI_MASTER_LIVE_DECISION!A127&gt;=0.48),"YES","NO")</f>
        <v/>
      </c>
    </row>
    <row r="128">
      <c r="E128">
        <f>IF(OR(D128="YES",C128&gt;=1,AI_MASTER_LIVE_DECISION!A128&gt;=0.48),"YES","NO")</f>
        <v/>
      </c>
    </row>
    <row r="129">
      <c r="E129">
        <f>IF(OR(D129="YES",C129&gt;=1,AI_MASTER_LIVE_DECISION!A129&gt;=0.48),"YES","NO")</f>
        <v/>
      </c>
    </row>
    <row r="130">
      <c r="E130">
        <f>IF(OR(D130="YES",C130&gt;=1,AI_MASTER_LIVE_DECISION!A130&gt;=0.48),"YES","NO")</f>
        <v/>
      </c>
    </row>
    <row r="131">
      <c r="E131">
        <f>IF(OR(D131="YES",C131&gt;=1,AI_MASTER_LIVE_DECISION!A131&gt;=0.48),"YES","NO")</f>
        <v/>
      </c>
    </row>
    <row r="132">
      <c r="E132">
        <f>IF(OR(D132="YES",C132&gt;=1,AI_MASTER_LIVE_DECISION!A132&gt;=0.48),"YES","NO")</f>
        <v/>
      </c>
    </row>
    <row r="133">
      <c r="E133">
        <f>IF(OR(D133="YES",C133&gt;=1,AI_MASTER_LIVE_DECISION!A133&gt;=0.48),"YES","NO")</f>
        <v/>
      </c>
    </row>
    <row r="134">
      <c r="E134">
        <f>IF(OR(D134="YES",C134&gt;=1,AI_MASTER_LIVE_DECISION!A134&gt;=0.48),"YES","NO")</f>
        <v/>
      </c>
    </row>
    <row r="135">
      <c r="E135">
        <f>IF(OR(D135="YES",C135&gt;=1,AI_MASTER_LIVE_DECISION!A135&gt;=0.48),"YES","NO")</f>
        <v/>
      </c>
    </row>
    <row r="136">
      <c r="E136">
        <f>IF(OR(D136="YES",C136&gt;=1,AI_MASTER_LIVE_DECISION!A136&gt;=0.48),"YES","NO")</f>
        <v/>
      </c>
    </row>
    <row r="137">
      <c r="E137">
        <f>IF(OR(D137="YES",C137&gt;=1,AI_MASTER_LIVE_DECISION!A137&gt;=0.48),"YES","NO")</f>
        <v/>
      </c>
    </row>
    <row r="138">
      <c r="E138">
        <f>IF(OR(D138="YES",C138&gt;=1,AI_MASTER_LIVE_DECISION!A138&gt;=0.48),"YES","NO")</f>
        <v/>
      </c>
    </row>
    <row r="139">
      <c r="E139">
        <f>IF(OR(D139="YES",C139&gt;=1,AI_MASTER_LIVE_DECISION!A139&gt;=0.48),"YES","NO")</f>
        <v/>
      </c>
    </row>
    <row r="140">
      <c r="E140">
        <f>IF(OR(D140="YES",C140&gt;=1,AI_MASTER_LIVE_DECISION!A140&gt;=0.48),"YES","NO")</f>
        <v/>
      </c>
    </row>
    <row r="141">
      <c r="E141">
        <f>IF(OR(D141="YES",C141&gt;=1,AI_MASTER_LIVE_DECISION!A141&gt;=0.48),"YES","NO")</f>
        <v/>
      </c>
    </row>
    <row r="142">
      <c r="E142">
        <f>IF(OR(D142="YES",C142&gt;=1,AI_MASTER_LIVE_DECISION!A142&gt;=0.48),"YES","NO")</f>
        <v/>
      </c>
    </row>
    <row r="143">
      <c r="E143">
        <f>IF(OR(D143="YES",C143&gt;=1,AI_MASTER_LIVE_DECISION!A143&gt;=0.48),"YES","NO")</f>
        <v/>
      </c>
    </row>
    <row r="144">
      <c r="E144">
        <f>IF(OR(D144="YES",C144&gt;=1,AI_MASTER_LIVE_DECISION!A144&gt;=0.48),"YES","NO")</f>
        <v/>
      </c>
    </row>
    <row r="145">
      <c r="E145">
        <f>IF(OR(D145="YES",C145&gt;=1,AI_MASTER_LIVE_DECISION!A145&gt;=0.48),"YES","NO")</f>
        <v/>
      </c>
    </row>
    <row r="146">
      <c r="E146">
        <f>IF(OR(D146="YES",C146&gt;=1,AI_MASTER_LIVE_DECISION!A146&gt;=0.48),"YES","NO")</f>
        <v/>
      </c>
    </row>
    <row r="147">
      <c r="E147">
        <f>IF(OR(D147="YES",C147&gt;=1,AI_MASTER_LIVE_DECISION!A147&gt;=0.48),"YES","NO")</f>
        <v/>
      </c>
    </row>
    <row r="148">
      <c r="E148">
        <f>IF(OR(D148="YES",C148&gt;=1,AI_MASTER_LIVE_DECISION!A148&gt;=0.48),"YES","NO")</f>
        <v/>
      </c>
    </row>
    <row r="149">
      <c r="E149">
        <f>IF(OR(D149="YES",C149&gt;=1,AI_MASTER_LIVE_DECISION!A149&gt;=0.48),"YES","NO")</f>
        <v/>
      </c>
    </row>
    <row r="150">
      <c r="E150">
        <f>IF(OR(D150="YES",C150&gt;=1,AI_MASTER_LIVE_DECISION!A150&gt;=0.48),"YES","NO")</f>
        <v/>
      </c>
    </row>
    <row r="151">
      <c r="E151">
        <f>IF(OR(D151="YES",C151&gt;=1,AI_MASTER_LIVE_DECISION!A151&gt;=0.48),"YES","NO")</f>
        <v/>
      </c>
    </row>
    <row r="152">
      <c r="E152">
        <f>IF(OR(D152="YES",C152&gt;=1,AI_MASTER_LIVE_DECISION!A152&gt;=0.48),"YES","NO")</f>
        <v/>
      </c>
    </row>
    <row r="153">
      <c r="E153">
        <f>IF(OR(D153="YES",C153&gt;=1,AI_MASTER_LIVE_DECISION!A153&gt;=0.48),"YES","NO")</f>
        <v/>
      </c>
    </row>
    <row r="154">
      <c r="E154">
        <f>IF(OR(D154="YES",C154&gt;=1,AI_MASTER_LIVE_DECISION!A154&gt;=0.48),"YES","NO")</f>
        <v/>
      </c>
    </row>
    <row r="155">
      <c r="E155">
        <f>IF(OR(D155="YES",C155&gt;=1,AI_MASTER_LIVE_DECISION!A155&gt;=0.48),"YES","NO")</f>
        <v/>
      </c>
    </row>
    <row r="156">
      <c r="E156">
        <f>IF(OR(D156="YES",C156&gt;=1,AI_MASTER_LIVE_DECISION!A156&gt;=0.48),"YES","NO")</f>
        <v/>
      </c>
    </row>
    <row r="157">
      <c r="E157">
        <f>IF(OR(D157="YES",C157&gt;=1,AI_MASTER_LIVE_DECISION!A157&gt;=0.48),"YES","NO")</f>
        <v/>
      </c>
    </row>
    <row r="158">
      <c r="E158">
        <f>IF(OR(D158="YES",C158&gt;=1,AI_MASTER_LIVE_DECISION!A158&gt;=0.48),"YES","NO")</f>
        <v/>
      </c>
    </row>
    <row r="159">
      <c r="E159">
        <f>IF(OR(D159="YES",C159&gt;=1,AI_MASTER_LIVE_DECISION!A159&gt;=0.48),"YES","NO")</f>
        <v/>
      </c>
    </row>
    <row r="160">
      <c r="E160">
        <f>IF(OR(D160="YES",C160&gt;=1,AI_MASTER_LIVE_DECISION!A160&gt;=0.48),"YES","NO")</f>
        <v/>
      </c>
    </row>
    <row r="161">
      <c r="E161">
        <f>IF(OR(D161="YES",C161&gt;=1,AI_MASTER_LIVE_DECISION!A161&gt;=0.48),"YES","NO")</f>
        <v/>
      </c>
    </row>
    <row r="162">
      <c r="E162">
        <f>IF(OR(D162="YES",C162&gt;=1,AI_MASTER_LIVE_DECISION!A162&gt;=0.48),"YES","NO")</f>
        <v/>
      </c>
    </row>
    <row r="163">
      <c r="E163">
        <f>IF(OR(D163="YES",C163&gt;=1,AI_MASTER_LIVE_DECISION!A163&gt;=0.48),"YES","NO")</f>
        <v/>
      </c>
    </row>
    <row r="164">
      <c r="E164">
        <f>IF(OR(D164="YES",C164&gt;=1,AI_MASTER_LIVE_DECISION!A164&gt;=0.48),"YES","NO")</f>
        <v/>
      </c>
    </row>
    <row r="165">
      <c r="E165">
        <f>IF(OR(D165="YES",C165&gt;=1,AI_MASTER_LIVE_DECISION!A165&gt;=0.48),"YES","NO")</f>
        <v/>
      </c>
    </row>
    <row r="166">
      <c r="E166">
        <f>IF(OR(D166="YES",C166&gt;=1,AI_MASTER_LIVE_DECISION!A166&gt;=0.48),"YES","NO")</f>
        <v/>
      </c>
    </row>
    <row r="167">
      <c r="E167">
        <f>IF(OR(D167="YES",C167&gt;=1,AI_MASTER_LIVE_DECISION!A167&gt;=0.48),"YES","NO")</f>
        <v/>
      </c>
    </row>
    <row r="168">
      <c r="E168">
        <f>IF(OR(D168="YES",C168&gt;=1,AI_MASTER_LIVE_DECISION!A168&gt;=0.48),"YES","NO")</f>
        <v/>
      </c>
    </row>
    <row r="169">
      <c r="E169">
        <f>IF(OR(D169="YES",C169&gt;=1,AI_MASTER_LIVE_DECISION!A169&gt;=0.48),"YES","NO")</f>
        <v/>
      </c>
    </row>
    <row r="170">
      <c r="E170">
        <f>IF(OR(D170="YES",C170&gt;=1,AI_MASTER_LIVE_DECISION!A170&gt;=0.48),"YES","NO")</f>
        <v/>
      </c>
    </row>
    <row r="171">
      <c r="E171">
        <f>IF(OR(D171="YES",C171&gt;=1,AI_MASTER_LIVE_DECISION!A171&gt;=0.48),"YES","NO")</f>
        <v/>
      </c>
    </row>
    <row r="172">
      <c r="E172">
        <f>IF(OR(D172="YES",C172&gt;=1,AI_MASTER_LIVE_DECISION!A172&gt;=0.48),"YES","NO")</f>
        <v/>
      </c>
    </row>
    <row r="173">
      <c r="E173">
        <f>IF(OR(D173="YES",C173&gt;=1,AI_MASTER_LIVE_DECISION!A173&gt;=0.48),"YES","NO")</f>
        <v/>
      </c>
    </row>
    <row r="174">
      <c r="E174">
        <f>IF(OR(D174="YES",C174&gt;=1,AI_MASTER_LIVE_DECISION!A174&gt;=0.48),"YES","NO")</f>
        <v/>
      </c>
    </row>
    <row r="175">
      <c r="E175">
        <f>IF(OR(D175="YES",C175&gt;=1,AI_MASTER_LIVE_DECISION!A175&gt;=0.48),"YES","NO")</f>
        <v/>
      </c>
    </row>
    <row r="176">
      <c r="E176">
        <f>IF(OR(D176="YES",C176&gt;=1,AI_MASTER_LIVE_DECISION!A176&gt;=0.48),"YES","NO")</f>
        <v/>
      </c>
    </row>
    <row r="177">
      <c r="E177">
        <f>IF(OR(D177="YES",C177&gt;=1,AI_MASTER_LIVE_DECISION!A177&gt;=0.48),"YES","NO")</f>
        <v/>
      </c>
    </row>
    <row r="178">
      <c r="E178">
        <f>IF(OR(D178="YES",C178&gt;=1,AI_MASTER_LIVE_DECISION!A178&gt;=0.48),"YES","NO")</f>
        <v/>
      </c>
    </row>
    <row r="179">
      <c r="E179">
        <f>IF(OR(D179="YES",C179&gt;=1,AI_MASTER_LIVE_DECISION!A179&gt;=0.48),"YES","NO")</f>
        <v/>
      </c>
    </row>
    <row r="180">
      <c r="E180">
        <f>IF(OR(D180="YES",C180&gt;=1,AI_MASTER_LIVE_DECISION!A180&gt;=0.48),"YES","NO")</f>
        <v/>
      </c>
    </row>
    <row r="181">
      <c r="E181">
        <f>IF(OR(D181="YES",C181&gt;=1,AI_MASTER_LIVE_DECISION!A181&gt;=0.48),"YES","NO")</f>
        <v/>
      </c>
    </row>
    <row r="182">
      <c r="E182">
        <f>IF(OR(D182="YES",C182&gt;=1,AI_MASTER_LIVE_DECISION!A182&gt;=0.48),"YES","NO")</f>
        <v/>
      </c>
    </row>
    <row r="183">
      <c r="E183">
        <f>IF(OR(D183="YES",C183&gt;=1,AI_MASTER_LIVE_DECISION!A183&gt;=0.48),"YES","NO")</f>
        <v/>
      </c>
    </row>
    <row r="184">
      <c r="E184">
        <f>IF(OR(D184="YES",C184&gt;=1,AI_MASTER_LIVE_DECISION!A184&gt;=0.48),"YES","NO")</f>
        <v/>
      </c>
    </row>
    <row r="185">
      <c r="E185">
        <f>IF(OR(D185="YES",C185&gt;=1,AI_MASTER_LIVE_DECISION!A185&gt;=0.48),"YES","NO")</f>
        <v/>
      </c>
    </row>
    <row r="186">
      <c r="E186">
        <f>IF(OR(D186="YES",C186&gt;=1,AI_MASTER_LIVE_DECISION!A186&gt;=0.48),"YES","NO")</f>
        <v/>
      </c>
    </row>
    <row r="187">
      <c r="E187">
        <f>IF(OR(D187="YES",C187&gt;=1,AI_MASTER_LIVE_DECISION!A187&gt;=0.48),"YES","NO")</f>
        <v/>
      </c>
    </row>
    <row r="188">
      <c r="E188">
        <f>IF(OR(D188="YES",C188&gt;=1,AI_MASTER_LIVE_DECISION!A188&gt;=0.48),"YES","NO")</f>
        <v/>
      </c>
    </row>
    <row r="189">
      <c r="E189">
        <f>IF(OR(D189="YES",C189&gt;=1,AI_MASTER_LIVE_DECISION!A189&gt;=0.48),"YES","NO")</f>
        <v/>
      </c>
    </row>
    <row r="190">
      <c r="E190">
        <f>IF(OR(D190="YES",C190&gt;=1,AI_MASTER_LIVE_DECISION!A190&gt;=0.48),"YES","NO")</f>
        <v/>
      </c>
    </row>
    <row r="191">
      <c r="E191">
        <f>IF(OR(D191="YES",C191&gt;=1,AI_MASTER_LIVE_DECISION!A191&gt;=0.48),"YES","NO")</f>
        <v/>
      </c>
    </row>
    <row r="192">
      <c r="E192">
        <f>IF(OR(D192="YES",C192&gt;=1,AI_MASTER_LIVE_DECISION!A192&gt;=0.48),"YES","NO")</f>
        <v/>
      </c>
    </row>
    <row r="193">
      <c r="E193">
        <f>IF(OR(D193="YES",C193&gt;=1,AI_MASTER_LIVE_DECISION!A193&gt;=0.48),"YES","NO")</f>
        <v/>
      </c>
    </row>
    <row r="194">
      <c r="E194">
        <f>IF(OR(D194="YES",C194&gt;=1,AI_MASTER_LIVE_DECISION!A194&gt;=0.48),"YES","NO")</f>
        <v/>
      </c>
    </row>
    <row r="195">
      <c r="E195">
        <f>IF(OR(D195="YES",C195&gt;=1,AI_MASTER_LIVE_DECISION!A195&gt;=0.48),"YES","NO")</f>
        <v/>
      </c>
    </row>
    <row r="196">
      <c r="E196">
        <f>IF(OR(D196="YES",C196&gt;=1,AI_MASTER_LIVE_DECISION!A196&gt;=0.48),"YES","NO")</f>
        <v/>
      </c>
    </row>
    <row r="197">
      <c r="E197">
        <f>IF(OR(D197="YES",C197&gt;=1,AI_MASTER_LIVE_DECISION!A197&gt;=0.48),"YES","NO")</f>
        <v/>
      </c>
    </row>
    <row r="198">
      <c r="E198">
        <f>IF(OR(D198="YES",C198&gt;=1,AI_MASTER_LIVE_DECISION!A198&gt;=0.48),"YES","NO")</f>
        <v/>
      </c>
    </row>
    <row r="199">
      <c r="E199">
        <f>IF(OR(D199="YES",C199&gt;=1,AI_MASTER_LIVE_DECISION!A199&gt;=0.48),"YES","NO")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  <c r="E1" t="inlineStr">
        <is>
          <t>Adaptive Buy Gate</t>
        </is>
      </c>
      <c r="F1" t="inlineStr">
        <is>
          <t>Adaptive Size Mult</t>
        </is>
      </c>
    </row>
    <row r="2">
      <c r="C2">
        <f>IF(LIVE_STRATEGY_SELECTOR!E2="YES","YES","NO")</f>
        <v/>
      </c>
      <c r="D2">
        <f>IF(AND(B2="ALLOW",C2="YES",A2&gt;0.52),"EXECUTE","STAND_BY")</f>
        <v/>
      </c>
      <c r="E2">
        <f>_xludf.XLOOKUP("AI_CONFIDENCE_BUY_MIN",CONFIG_CORE!A:A,CONFIG_CORE!B:B)+IF(VOLATILITY_REGIME!D2="LOW",_xludf.XLOOKUP("ADAPTIVE_CONF_LOW_VOL_DELTA",CONFIG_CORE!A:A,CONFIG_CORE!B:B),IF(VOLATILITY_REGIME!D2="HIGH",_xludf.XLOOKUP("ADAPTIVE_CONF_HIGH_VOL_DELTA",CONFIG_CORE!A:A,CONFIG_CORE!B:B),0))</f>
        <v/>
      </c>
      <c r="F2">
        <f>IF(VOLATILITY_REGIME!C2&gt;=_xludf.XLOOKUP("MIN_VOL_FOR_AGGRESSION",CONFIG_CORE!A:A,CONFIG_CORE!B:B),_xludf.XLOOKUP("AGGRESSION_SIZE_BOOST",CONFIG_CORE!A:A,CONFIG_CORE!B:B),1)</f>
        <v/>
      </c>
    </row>
    <row r="3">
      <c r="C3">
        <f>IF(LIVE_STRATEGY_SELECTOR!E3="YES","YES","NO")</f>
        <v/>
      </c>
      <c r="D3">
        <f>IF(AND(B3="ALLOW",C3="YES",A3&gt;0.52),"EXECUTE","STAND_BY")</f>
        <v/>
      </c>
    </row>
    <row r="4">
      <c r="C4">
        <f>IF(LIVE_STRATEGY_SELECTOR!E4="YES","YES","NO")</f>
        <v/>
      </c>
      <c r="D4">
        <f>IF(AND(B4="ALLOW",C4="YES",A4&gt;0.52),"EXECUTE","STAND_BY")</f>
        <v/>
      </c>
    </row>
    <row r="5">
      <c r="C5">
        <f>IF(LIVE_STRATEGY_SELECTOR!E5="YES","YES","NO")</f>
        <v/>
      </c>
      <c r="D5">
        <f>IF(AND(B5="ALLOW",C5="YES",A5&gt;0.52),"EXECUTE","STAND_BY")</f>
        <v/>
      </c>
    </row>
    <row r="6">
      <c r="C6">
        <f>IF(LIVE_STRATEGY_SELECTOR!E6="YES","YES","NO")</f>
        <v/>
      </c>
      <c r="D6">
        <f>IF(AND(B6="ALLOW",C6="YES",A6&gt;0.52),"EXECUTE","STAND_BY")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Comment</t>
        </is>
      </c>
    </row>
    <row r="2">
      <c r="A2" t="inlineStr">
        <is>
          <t>RISK_PER_TRADE</t>
        </is>
      </c>
      <c r="B2" t="n">
        <v>0.012</v>
      </c>
      <c r="C2" t="inlineStr">
        <is>
          <t>1.2% sweet spot</t>
        </is>
      </c>
    </row>
    <row r="3">
      <c r="A3" t="inlineStr">
        <is>
          <t>HARD_RISK_CAP</t>
        </is>
      </c>
      <c r="B3" t="n">
        <v>0.02</v>
      </c>
      <c r="C3" t="inlineStr">
        <is>
          <t>absolute max</t>
        </is>
      </c>
    </row>
    <row r="4">
      <c r="A4" t="inlineStr">
        <is>
          <t>MAX_POSITION_CAP</t>
        </is>
      </c>
      <c r="B4" t="n">
        <v>0.25</v>
      </c>
      <c r="C4" t="inlineStr">
        <is>
          <t>25% equity cap</t>
        </is>
      </c>
    </row>
    <row r="5">
      <c r="A5" t="inlineStr">
        <is>
          <t>MAX_TRADES_PER_DAY</t>
        </is>
      </c>
      <c r="B5" t="n">
        <v>5</v>
      </c>
      <c r="C5" t="inlineStr">
        <is>
          <t>overtrading shield</t>
        </is>
      </c>
    </row>
    <row r="6">
      <c r="A6" t="inlineStr">
        <is>
          <t>MAX_CONCURRENT_TRADES</t>
        </is>
      </c>
      <c r="B6" t="n">
        <v>2</v>
      </c>
      <c r="C6" t="inlineStr">
        <is>
          <t>correlation control</t>
        </is>
      </c>
    </row>
    <row r="7">
      <c r="A7" t="inlineStr">
        <is>
          <t>AI_CONFIDENCE_BUY_MIN</t>
        </is>
      </c>
      <c r="B7" t="n">
        <v>0.54</v>
      </c>
    </row>
    <row r="8">
      <c r="A8" t="inlineStr">
        <is>
          <t>AI_CONFIDENCE_SELL_MIN</t>
        </is>
      </c>
      <c r="B8" t="n">
        <v>0.66</v>
      </c>
    </row>
    <row r="9">
      <c r="A9" t="inlineStr">
        <is>
          <t>AI_CONFIDENCE_STRONG</t>
        </is>
      </c>
      <c r="B9" t="n">
        <v>0.72</v>
      </c>
    </row>
    <row r="10">
      <c r="A10" t="inlineStr">
        <is>
          <t>TREND_SCORE_MIN</t>
        </is>
      </c>
      <c r="B10" t="n">
        <v>0.52</v>
      </c>
    </row>
    <row r="11">
      <c r="A11" t="inlineStr">
        <is>
          <t>VOLATILITY_STATE_BLOCK_LOW</t>
        </is>
      </c>
      <c r="B11" t="inlineStr">
        <is>
          <t>FALSE</t>
        </is>
      </c>
    </row>
    <row r="12">
      <c r="A12" t="inlineStr">
        <is>
          <t>VOLUME_ZSCORE_MIN</t>
        </is>
      </c>
      <c r="B12" t="n">
        <v>0</v>
      </c>
    </row>
    <row r="13">
      <c r="A13" t="inlineStr">
        <is>
          <t>VWAP_REQUIRED</t>
        </is>
      </c>
      <c r="B13" t="inlineStr">
        <is>
          <t>TRUE</t>
        </is>
      </c>
    </row>
    <row r="14">
      <c r="A14" t="inlineStr">
        <is>
          <t>HTF_CONFIRMATION</t>
        </is>
      </c>
      <c r="B14" t="b">
        <v>1</v>
      </c>
      <c r="C14" t="inlineStr">
        <is>
          <t>PRO BOOST MTF filter</t>
        </is>
      </c>
    </row>
    <row r="15">
      <c r="A15" t="inlineStr">
        <is>
          <t>HTF_TIMEFRAME</t>
        </is>
      </c>
      <c r="B15" t="inlineStr">
        <is>
          <t>1h</t>
        </is>
      </c>
      <c r="C15" t="inlineStr">
        <is>
          <t>Higher timeframe bias</t>
        </is>
      </c>
    </row>
    <row r="16">
      <c r="A16" t="inlineStr">
        <is>
          <t>HTF_TREND_MIN</t>
        </is>
      </c>
      <c r="B16" t="n">
        <v>0.5</v>
      </c>
      <c r="C16" t="inlineStr">
        <is>
          <t>HTF trend gate</t>
        </is>
      </c>
    </row>
    <row r="17">
      <c r="A17" t="inlineStr">
        <is>
          <t>ELITE_ZONE</t>
        </is>
      </c>
      <c r="B17" t="n">
        <v>0.8</v>
      </c>
      <c r="C17" t="inlineStr">
        <is>
          <t>High confidence zone</t>
        </is>
      </c>
    </row>
    <row r="18">
      <c r="A18" t="inlineStr">
        <is>
          <t>VOL_EXPANSION_BONUS</t>
        </is>
      </c>
      <c r="B18" t="b">
        <v>1</v>
      </c>
      <c r="C18" t="inlineStr">
        <is>
          <t>Volatility expansion filter</t>
        </is>
      </c>
    </row>
    <row r="19">
      <c r="A19" t="inlineStr">
        <is>
          <t>ATR_EXPANSION_MIN</t>
        </is>
      </c>
      <c r="B19" t="n">
        <v>0.45</v>
      </c>
      <c r="C19" t="inlineStr">
        <is>
          <t>ATR expansion threshold</t>
        </is>
      </c>
    </row>
    <row r="20">
      <c r="A20" t="inlineStr">
        <is>
          <t>SIZE_BOOST_ELITE</t>
        </is>
      </c>
      <c r="B20" t="n">
        <v>1.15</v>
      </c>
      <c r="C20" t="inlineStr">
        <is>
          <t>Elite size boost</t>
        </is>
      </c>
    </row>
    <row r="21">
      <c r="A21" t="inlineStr">
        <is>
          <t>ADAPTIVE_CONF_LOW_VOL_DELTA</t>
        </is>
      </c>
      <c r="B21" t="n">
        <v>-0.005</v>
      </c>
      <c r="C21" t="inlineStr">
        <is>
          <t>adaptive buy delta low vol</t>
        </is>
      </c>
    </row>
    <row r="22">
      <c r="A22" t="inlineStr">
        <is>
          <t>ADAPTIVE_CONF_HIGH_VOL_DELTA</t>
        </is>
      </c>
      <c r="B22" t="n">
        <v>0.004</v>
      </c>
      <c r="C22" t="inlineStr">
        <is>
          <t>adaptive buy delta high vol</t>
        </is>
      </c>
    </row>
    <row r="23">
      <c r="A23" t="inlineStr">
        <is>
          <t>MIN_VOL_FOR_AGGRESSION</t>
        </is>
      </c>
      <c r="B23" t="n">
        <v>0.1</v>
      </c>
      <c r="C23" t="inlineStr">
        <is>
          <t>size boost trigger</t>
        </is>
      </c>
    </row>
    <row r="24">
      <c r="A24" t="inlineStr">
        <is>
          <t>AGGRESSION_SIZE_BOOST</t>
        </is>
      </c>
      <c r="B24" t="n">
        <v>1.15</v>
      </c>
      <c r="C24" t="inlineStr">
        <is>
          <t>size multiplier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STOP_MODEL</t>
        </is>
      </c>
      <c r="B2" t="inlineStr">
        <is>
          <t>ATR_STRUCTURE_HYBRID</t>
        </is>
      </c>
    </row>
    <row r="3">
      <c r="A3" t="inlineStr">
        <is>
          <t>ATR_PERIOD</t>
        </is>
      </c>
      <c r="B3" t="n">
        <v>14</v>
      </c>
    </row>
    <row r="4">
      <c r="A4" t="inlineStr">
        <is>
          <t>ATR_MULTIPLIER</t>
        </is>
      </c>
      <c r="B4" t="n">
        <v>1.8</v>
      </c>
    </row>
    <row r="5">
      <c r="A5" t="inlineStr">
        <is>
          <t>STRUCTURE_LOOKBACK</t>
        </is>
      </c>
      <c r="B5" t="n">
        <v>20</v>
      </c>
    </row>
    <row r="6">
      <c r="A6" t="inlineStr">
        <is>
          <t>VWAP_INVALIDATION</t>
        </is>
      </c>
      <c r="B6" t="inlineStr">
        <is>
          <t>TRUE</t>
        </is>
      </c>
    </row>
    <row r="7">
      <c r="A7" t="inlineStr">
        <is>
          <t>STOP_DISTANCE_FORMULA</t>
        </is>
      </c>
      <c r="B7">
        <f>IFERROR(MAX(ATR_VALUE*ATR_MULTIPLIER,STRUCTURE_STOP_DISTANCE,VWAP_INVALIDATION_DISTANCE),0)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POSITION_MODEL</t>
        </is>
      </c>
      <c r="B2" t="inlineStr">
        <is>
          <t>VOLATILITY_ADJUSTED</t>
        </is>
      </c>
    </row>
    <row r="3">
      <c r="A3" t="inlineStr">
        <is>
          <t>BASE_RISK</t>
        </is>
      </c>
      <c r="B3" t="n">
        <v>0.012</v>
      </c>
    </row>
    <row r="4">
      <c r="A4" t="inlineStr">
        <is>
          <t>SIZE_SMOOTHING</t>
        </is>
      </c>
      <c r="B4" t="inlineStr">
        <is>
          <t>TRUE</t>
        </is>
      </c>
    </row>
    <row r="5">
      <c r="A5" t="inlineStr">
        <is>
          <t>MIN_NOTIONAL_FILTER</t>
        </is>
      </c>
      <c r="B5" t="inlineStr">
        <is>
          <t>TRUE</t>
        </is>
      </c>
    </row>
    <row r="6">
      <c r="A6" t="inlineStr">
        <is>
          <t>POSITION_SIZE_FORMULA</t>
        </is>
      </c>
      <c r="B6">
        <f>IFERROR((Account_Equity*RISK_PER_TRADE)/Stop_Distance,0)</f>
        <v/>
      </c>
    </row>
    <row r="7">
      <c r="A7" t="inlineStr">
        <is>
          <t>POSITION_CLAMP_FORMULA</t>
        </is>
      </c>
      <c r="B7">
        <f>MIN(Calculated_Position,Account_Equity*MAX_POSITION_CAP)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TP_MODEL</t>
        </is>
      </c>
      <c r="B2" t="inlineStr">
        <is>
          <t>PARTIAL_LADDER</t>
        </is>
      </c>
    </row>
    <row r="3">
      <c r="A3" t="inlineStr">
        <is>
          <t>MIN_RR</t>
        </is>
      </c>
      <c r="B3" t="n">
        <v>1.7</v>
      </c>
    </row>
    <row r="4">
      <c r="A4" t="inlineStr">
        <is>
          <t>TP1_R</t>
        </is>
      </c>
      <c r="B4" t="n">
        <v>1</v>
      </c>
    </row>
    <row r="5">
      <c r="A5" t="inlineStr">
        <is>
          <t>TP2_R</t>
        </is>
      </c>
      <c r="B5" t="n">
        <v>1.8</v>
      </c>
    </row>
    <row r="6">
      <c r="A6" t="inlineStr">
        <is>
          <t>RUNNER_MODE</t>
        </is>
      </c>
      <c r="B6" t="inlineStr">
        <is>
          <t>TRAILING_ATR</t>
        </is>
      </c>
    </row>
    <row r="7">
      <c r="A7" t="inlineStr">
        <is>
          <t>TP1_SIZE</t>
        </is>
      </c>
      <c r="B7" t="n">
        <v>0.3</v>
      </c>
    </row>
    <row r="8">
      <c r="A8" t="inlineStr">
        <is>
          <t>TP2_SIZE</t>
        </is>
      </c>
      <c r="B8" t="n">
        <v>0.4</v>
      </c>
    </row>
    <row r="9">
      <c r="A9" t="inlineStr">
        <is>
          <t>RUNNER_SIZE</t>
        </is>
      </c>
      <c r="B9" t="n">
        <v>0.3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DAILY_DD_STOP</t>
        </is>
      </c>
      <c r="B2" t="n">
        <v>-0.04</v>
      </c>
    </row>
    <row r="3">
      <c r="A3" t="inlineStr">
        <is>
          <t>EQUITY_KILL</t>
        </is>
      </c>
      <c r="B3" t="n">
        <v>-0.12</v>
      </c>
    </row>
    <row r="4">
      <c r="A4" t="inlineStr">
        <is>
          <t>MAX_CONSECUTIVE_LOSSES</t>
        </is>
      </c>
      <c r="B4" t="n">
        <v>4</v>
      </c>
    </row>
    <row r="5">
      <c r="A5" t="inlineStr">
        <is>
          <t>LOSS_COOLDOWN_MIN</t>
        </is>
      </c>
      <c r="B5" t="n">
        <v>45</v>
      </c>
    </row>
    <row r="6">
      <c r="A6" t="inlineStr">
        <is>
          <t>DAILY_DD_FORMULA</t>
        </is>
      </c>
      <c r="B6">
        <f>IF(Daily_Return&lt;=DAILY_DD_STOP,"PAUSE","OK")</f>
        <v/>
      </c>
    </row>
    <row r="7">
      <c r="A7" t="inlineStr">
        <is>
          <t>LOSS_STREAK_FORMULA</t>
        </is>
      </c>
      <c r="B7">
        <f>IF(Consecutive_Losses&gt;=MAX_CONSECUTIVE_LOSSES,"PAUSE","OK")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Formula</t>
        </is>
      </c>
    </row>
    <row r="2">
      <c r="A2" t="inlineStr">
        <is>
          <t>BUY_FIREWALL</t>
        </is>
      </c>
      <c r="B2">
        <f>AND(AI_SCORE&gt;=AI_CONFIDENCE_BUY_MIN,TREND_SCORE&gt;=TREND_SCORE_MIN,VOL_STATE&lt;&gt;"LOW",VOLUME_Z&gt;=VOLUME_ZSCORE_MIN,PRICE_VS_VWAP="FAVORABLE",DAILY_KILL&lt;&gt;"PAUSE",LOSS_GUARD&lt;&gt;"PAUSE")</f>
        <v/>
      </c>
    </row>
    <row r="3">
      <c r="A3" t="inlineStr">
        <is>
          <t>SELL_FIREWALL</t>
        </is>
      </c>
      <c r="B3">
        <f>AND(AI_SCORE&gt;=AI_CONFIDENCE_SELL_MIN,STRUCTURE_OK=TRUE,PRICE_BELOW_VWAP=TRUE)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CONFIG_KEY</t>
        </is>
      </c>
      <c r="B1" t="inlineStr">
        <is>
          <t>CONFIG_SHEET</t>
        </is>
      </c>
      <c r="C1" t="inlineStr">
        <is>
          <t>LOOKUP_FORMULA</t>
        </is>
      </c>
    </row>
    <row r="2">
      <c r="A2" t="inlineStr">
        <is>
          <t>RISK_PER_TRADE</t>
        </is>
      </c>
      <c r="B2" t="inlineStr">
        <is>
          <t>CONFIG_CORE</t>
        </is>
      </c>
      <c r="C2">
        <f>VLOOKUP(A2,CONFIG_CORE!A:B,2,FALSE)</f>
        <v/>
      </c>
    </row>
    <row r="3">
      <c r="A3" t="inlineStr">
        <is>
          <t>HARD_RISK_CAP</t>
        </is>
      </c>
      <c r="B3" t="inlineStr">
        <is>
          <t>CONFIG_CORE</t>
        </is>
      </c>
      <c r="C3">
        <f>VLOOKUP(A3,CONFIG_CORE!A:B,2,FALSE)</f>
        <v/>
      </c>
    </row>
    <row r="4">
      <c r="A4" t="inlineStr">
        <is>
          <t>MAX_POSITION_CAP</t>
        </is>
      </c>
      <c r="B4" t="inlineStr">
        <is>
          <t>CONFIG_CORE</t>
        </is>
      </c>
      <c r="C4">
        <f>VLOOKUP(A4,CONFIG_CORE!A:B,2,FALSE)</f>
        <v/>
      </c>
    </row>
    <row r="5">
      <c r="A5" t="inlineStr">
        <is>
          <t>MAX_TRADES_PER_DAY</t>
        </is>
      </c>
      <c r="B5" t="inlineStr">
        <is>
          <t>CONFIG_CORE</t>
        </is>
      </c>
      <c r="C5">
        <f>VLOOKUP(A5,CONFIG_CORE!A:B,2,FALSE)</f>
        <v/>
      </c>
    </row>
    <row r="6">
      <c r="A6" t="inlineStr">
        <is>
          <t>AI_CONFIDENCE_BUY_MIN</t>
        </is>
      </c>
      <c r="B6" t="inlineStr">
        <is>
          <t>CONFIG_CORE</t>
        </is>
      </c>
      <c r="C6">
        <f>VLOOKUP(A6,CONFIG_CORE!A:B,2,FALSE)</f>
        <v/>
      </c>
    </row>
    <row r="7">
      <c r="A7" t="inlineStr">
        <is>
          <t>AI_CONFIDENCE_SELL_MIN</t>
        </is>
      </c>
      <c r="B7" t="inlineStr">
        <is>
          <t>CONFIG_CORE</t>
        </is>
      </c>
      <c r="C7">
        <f>VLOOKUP(A7,CONFIG_CORE!A:B,2,FALSE)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</t>
        </is>
      </c>
      <c r="B1" t="inlineStr">
        <is>
          <t>STATUS</t>
        </is>
      </c>
      <c r="C1" t="inlineStr">
        <is>
          <t>FORMULA</t>
        </is>
      </c>
    </row>
    <row r="2">
      <c r="A2" t="inlineStr">
        <is>
          <t>AI_PASS</t>
        </is>
      </c>
      <c r="B2">
        <f>IF(AI_MASTER_LIVE_DECISION!A2&gt;=0.5,"PASS","BLOCK")</f>
        <v/>
      </c>
    </row>
    <row r="3">
      <c r="A3" t="inlineStr">
        <is>
          <t>RISK_PASS</t>
        </is>
      </c>
      <c r="B3">
        <f>IF([14]EXECUTION_REALITY!E2="OK","PASS","BLOCK")</f>
        <v/>
      </c>
    </row>
    <row r="4">
      <c r="A4" t="inlineStr">
        <is>
          <t>STRAT_WINNER_PRESENT</t>
        </is>
      </c>
      <c r="B4">
        <f>IF(COUNTIF(LIVE_STRATEGY_SELECTOR!D2:D6,"YES")&gt;0,"PASS","BLOCK")</f>
        <v/>
      </c>
    </row>
    <row r="5">
      <c r="A5" t="inlineStr">
        <is>
          <t>FINAL_READY</t>
        </is>
      </c>
      <c r="B5">
        <f>IF(AND(B2="PASS",B3="PASS",B4="PASS"),"READY","WAIT")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2026-02-19T16:24:04Z</dcterms:modified>
  <cp:lastModifiedBy>Zezva</cp:lastModifiedBy>
</cp:coreProperties>
</file>