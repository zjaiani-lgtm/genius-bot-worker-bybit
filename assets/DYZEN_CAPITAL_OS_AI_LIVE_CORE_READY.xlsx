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Zezva\Downloads\genius-bot-worker-bybit\10 ეს რაც არის ეხლა ბოლო ვერსია ფაილში\3\assets\"/>
    </mc:Choice>
  </mc:AlternateContent>
  <xr:revisionPtr revIDLastSave="0" documentId="13_ncr:1_{5EE8CA67-C5C7-4484-81CA-BF54574BDC62}" xr6:coauthVersionLast="47" xr6:coauthVersionMax="47" xr10:uidLastSave="{00000000-0000-0000-0000-000000000000}"/>
  <bookViews>
    <workbookView xWindow="-120" yWindow="-120" windowWidth="29040" windowHeight="15840" firstSheet="56" activeTab="60" xr2:uid="{00000000-000D-0000-FFFF-FFFF00000000}"/>
  </bookViews>
  <sheets>
    <sheet name="FORENSIC_LOGIC_MATRIX" sheetId="1" r:id="rId1"/>
    <sheet name="SELL_LOGIC_EVOLUTION" sheetId="2" r:id="rId2"/>
    <sheet name="WEIGHT_THRESHOLD_MATRIX" sheetId="3" r:id="rId3"/>
    <sheet name="CONFLICT_OVERRIDE" sheetId="4" r:id="rId4"/>
    <sheet name="UNIFIED_MASTER_ENGINE" sheetId="5" r:id="rId5"/>
    <sheet name="BACKTEST_SIMULATION" sheetId="6" r:id="rId6"/>
    <sheet name="MONTE_CARLO_SIM" sheetId="7" state="hidden" r:id="rId7"/>
    <sheet name="VOLATILITY_REGIME" sheetId="8" r:id="rId8"/>
    <sheet name="EQUITY_ADAPTIVE_SCALING" sheetId="9" r:id="rId9"/>
    <sheet name="TRADE_CLUSTER_PROTECTION" sheetId="10" r:id="rId10"/>
    <sheet name="AUTO_WEIGHT_ADJUSTER" sheetId="11" r:id="rId11"/>
    <sheet name="MONTE_CARLO_1000" sheetId="12" state="hidden" r:id="rId12"/>
    <sheet name="DYNAMIC_WEIGHT_SWITCH" sheetId="13" r:id="rId13"/>
    <sheet name="EQUITY_SLOPE_DETECTOR" sheetId="14" r:id="rId14"/>
    <sheet name="CORRELATION_FILTER" sheetId="15" r:id="rId15"/>
    <sheet name="PORTFOLIO_ALLOCATOR" sheetId="16" r:id="rId16"/>
    <sheet name="PATH_MONTE_CARLO" sheetId="17" state="hidden" r:id="rId17"/>
    <sheet name="KELLY_ADAPTIVE" sheetId="18" r:id="rId18"/>
    <sheet name="REGIME_PROB_MATRIX" sheetId="19" r:id="rId19"/>
    <sheet name="BAYESIAN_WEIGHT_UPDATE" sheetId="20" r:id="rId20"/>
    <sheet name="HMM_REGIME_MODEL" sheetId="21" r:id="rId21"/>
    <sheet name="DRAWDOWN_PHASE_DETECTOR" sheetId="22" r:id="rId22"/>
    <sheet name="VOL_OF_VOL_FILTER" sheetId="23" r:id="rId23"/>
    <sheet name="CAPITAL_VELOCITY_OPTIMIZER" sheetId="24" r:id="rId24"/>
    <sheet name="SELF_LEARNING_ENGINE" sheetId="25" r:id="rId25"/>
    <sheet name="AUTONOMOUS_REALLOCATOR" sheetId="26" r:id="rId26"/>
    <sheet name="ADAPTIVE_RISK_LOOP" sheetId="27" r:id="rId27"/>
    <sheet name="SYSTEM_EVOLUTION_TRACKER" sheetId="28" r:id="rId28"/>
    <sheet name="FUND_SIM_GRID" sheetId="29" state="hidden" r:id="rId29"/>
    <sheet name="PARALLEL_BACKTEST_MATRIX" sheetId="30" state="hidden" r:id="rId30"/>
    <sheet name="SURVIVAL_SELECTION" sheetId="31" r:id="rId31"/>
    <sheet name="CAPITAL_REDISTRIBUTION" sheetId="32" r:id="rId32"/>
    <sheet name="FUND_META_DASHBOARD" sheetId="33" r:id="rId33"/>
    <sheet name="STRATEGY_MUTATION_ENGINE" sheetId="34" state="hidden" r:id="rId34"/>
    <sheet name="PARAMETER_BREEDING_LAB" sheetId="35" state="hidden" r:id="rId35"/>
    <sheet name="DNA_SWAP_MATRIX" sheetId="36" state="hidden" r:id="rId36"/>
    <sheet name="EVOLUTION_SCORE_MEMORY" sheetId="37" r:id="rId37"/>
    <sheet name="EVOLUTION_CONTROL_PANEL" sheetId="38" r:id="rId38"/>
    <sheet name="SELF_IMPROVING_REGIME" sheetId="39" r:id="rId39"/>
    <sheet name="CROSS_MARKET_ADAPTIVE" sheetId="40" r:id="rId40"/>
    <sheet name="CAPITAL_FLOW_MODEL" sheetId="41" r:id="rId41"/>
    <sheet name="META_FUND_LAYER" sheetId="42" r:id="rId42"/>
    <sheet name="GLOBAL_LIQUIDITY_PROXY" sheetId="43" r:id="rId43"/>
    <sheet name="MACRO_RISK_THERMOMETER" sheetId="44" r:id="rId44"/>
    <sheet name="CAPITAL_SHOCK_ABSORBER" sheetId="45" r:id="rId45"/>
    <sheet name="CAPITAL_PRESERVATION_MODE" sheetId="46" r:id="rId46"/>
    <sheet name="GLOBAL_REGIME_SYNC" sheetId="47" r:id="rId47"/>
    <sheet name="CRISIS_SIM_MATRIX" sheetId="48" state="hidden" r:id="rId48"/>
    <sheet name="STRESS_PROPAGATION_MODEL" sheetId="49" r:id="rId49"/>
    <sheet name="RISK_OFF_ROTATION" sheetId="50" r:id="rId50"/>
    <sheet name="GLOBAL_CAPITAL_CYCLE" sheetId="51" r:id="rId51"/>
    <sheet name="SYSTEMIC_FRAGILITY_INDEX" sheetId="52" r:id="rId52"/>
    <sheet name="LIQUIDITY_VACUUM" sheetId="53" r:id="rId53"/>
    <sheet name="CAPITAL_MIGRATION_MATRIX" sheetId="54" r:id="rId54"/>
    <sheet name="AI_DECISION_FUSION" sheetId="55" r:id="rId55"/>
    <sheet name="AI_CONFIDENCE_CALIBRATOR" sheetId="56" r:id="rId56"/>
    <sheet name="AI_RISK_DISTRIBUTOR" sheetId="57" r:id="rId57"/>
    <sheet name="AI_AUTONOMOUS_LOOP" sheetId="58" r:id="rId58"/>
    <sheet name="AI_META_DASHBOARD" sheetId="59" r:id="rId59"/>
    <sheet name="LIVE_MACRO_RISK_GATE" sheetId="60" r:id="rId60"/>
    <sheet name="LIVE_STRATEGY_SELECTOR" sheetId="61" r:id="rId61"/>
    <sheet name="AI_MASTER_LIVE_DECISION" sheetId="62" r:id="rId62"/>
    <sheet name="CONFIG_CORE" sheetId="63" r:id="rId63"/>
    <sheet name="RISK_ENGINE" sheetId="64" r:id="rId64"/>
    <sheet name="POSITION_ENGINE" sheetId="65" r:id="rId65"/>
    <sheet name="TP_ENGINE" sheetId="66" r:id="rId66"/>
    <sheet name="KILL_SWITCH" sheetId="67" r:id="rId67"/>
    <sheet name="TRADE_FIREWALL" sheetId="68" r:id="rId68"/>
    <sheet name="AUTO_WIRE_MAP" sheetId="69" r:id="rId69"/>
    <sheet name="STRAT_VISIBILITY_PANEL" sheetId="70" r:id="rId70"/>
  </sheets>
  <externalReferences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70" l="1"/>
  <c r="B2" i="70"/>
  <c r="C7" i="69"/>
  <c r="C6" i="69"/>
  <c r="C5" i="69"/>
  <c r="C4" i="69"/>
  <c r="C3" i="69"/>
  <c r="C2" i="69"/>
  <c r="B3" i="68"/>
  <c r="B2" i="68"/>
  <c r="B7" i="67"/>
  <c r="B6" i="67"/>
  <c r="B7" i="65"/>
  <c r="B6" i="65"/>
  <c r="B7" i="64"/>
  <c r="D118" i="1" s="1"/>
  <c r="B6" i="61"/>
  <c r="B5" i="61"/>
  <c r="B4" i="61"/>
  <c r="B3" i="61"/>
  <c r="B2" i="61"/>
  <c r="D2" i="60"/>
  <c r="E2" i="58"/>
  <c r="D2" i="57"/>
  <c r="C2" i="56"/>
  <c r="D2" i="56" s="1"/>
  <c r="D6" i="55"/>
  <c r="D5" i="55"/>
  <c r="D4" i="55"/>
  <c r="D3" i="55"/>
  <c r="D2" i="55"/>
  <c r="D6" i="54"/>
  <c r="D5" i="54"/>
  <c r="D4" i="54"/>
  <c r="D3" i="54"/>
  <c r="D2" i="54"/>
  <c r="C2" i="53"/>
  <c r="D2" i="53" s="1"/>
  <c r="D2" i="52"/>
  <c r="E2" i="52" s="1"/>
  <c r="D2" i="51"/>
  <c r="C2" i="50"/>
  <c r="D2" i="50" s="1"/>
  <c r="C2" i="49"/>
  <c r="D2" i="49" s="1"/>
  <c r="D4" i="48"/>
  <c r="D3" i="48"/>
  <c r="D2" i="48"/>
  <c r="D2" i="47"/>
  <c r="D2" i="46"/>
  <c r="C2" i="45"/>
  <c r="D2" i="45" s="1"/>
  <c r="C2" i="44"/>
  <c r="D2" i="44" s="1"/>
  <c r="D2" i="43"/>
  <c r="C2" i="43"/>
  <c r="C5" i="42"/>
  <c r="D5" i="42" s="1"/>
  <c r="C4" i="42"/>
  <c r="D4" i="42" s="1"/>
  <c r="C3" i="42"/>
  <c r="D3" i="42" s="1"/>
  <c r="C2" i="42"/>
  <c r="D2" i="42" s="1"/>
  <c r="D4" i="41"/>
  <c r="D3" i="41"/>
  <c r="D2" i="41"/>
  <c r="C2" i="40"/>
  <c r="D2" i="40" s="1"/>
  <c r="D4" i="39"/>
  <c r="E4" i="39" s="1"/>
  <c r="D3" i="39"/>
  <c r="E3" i="39" s="1"/>
  <c r="D2" i="39"/>
  <c r="E2" i="39" s="1"/>
  <c r="D2" i="37"/>
  <c r="D2" i="36"/>
  <c r="D2" i="35"/>
  <c r="C2" i="35"/>
  <c r="C2" i="34"/>
  <c r="D2" i="34" s="1"/>
  <c r="C2" i="32"/>
  <c r="D2" i="32" s="1"/>
  <c r="C2" i="31"/>
  <c r="D2" i="31" s="1"/>
  <c r="E2" i="30"/>
  <c r="F2" i="30" s="1"/>
  <c r="H6" i="29"/>
  <c r="H5" i="29"/>
  <c r="H4" i="29"/>
  <c r="H3" i="29"/>
  <c r="H2" i="29"/>
  <c r="E2" i="28"/>
  <c r="D2" i="27"/>
  <c r="C6" i="26"/>
  <c r="D6" i="26" s="1"/>
  <c r="C5" i="26"/>
  <c r="D5" i="26" s="1"/>
  <c r="C4" i="26"/>
  <c r="D4" i="26" s="1"/>
  <c r="C3" i="26"/>
  <c r="D3" i="26" s="1"/>
  <c r="C2" i="26"/>
  <c r="D2" i="26" s="1"/>
  <c r="D4" i="25"/>
  <c r="D3" i="25"/>
  <c r="D2" i="25"/>
  <c r="C2" i="24"/>
  <c r="D2" i="24" s="1"/>
  <c r="C2" i="23"/>
  <c r="D2" i="23" s="1"/>
  <c r="B2" i="23"/>
  <c r="C2" i="22"/>
  <c r="D2" i="22" s="1"/>
  <c r="D2" i="21"/>
  <c r="D6" i="20"/>
  <c r="D5" i="20"/>
  <c r="D4" i="20"/>
  <c r="D3" i="20"/>
  <c r="D2" i="20"/>
  <c r="C4" i="19"/>
  <c r="D4" i="19" s="1"/>
  <c r="C3" i="19"/>
  <c r="D3" i="19" s="1"/>
  <c r="C2" i="19"/>
  <c r="D2" i="19" s="1"/>
  <c r="C2" i="18"/>
  <c r="D2" i="18" s="1"/>
  <c r="B201" i="17"/>
  <c r="C201" i="17" s="1"/>
  <c r="B200" i="17"/>
  <c r="C200" i="17" s="1"/>
  <c r="B199" i="17"/>
  <c r="C199" i="17" s="1"/>
  <c r="B198" i="17"/>
  <c r="C198" i="17" s="1"/>
  <c r="B197" i="17"/>
  <c r="C197" i="17" s="1"/>
  <c r="B196" i="17"/>
  <c r="C196" i="17" s="1"/>
  <c r="B195" i="17"/>
  <c r="C195" i="17" s="1"/>
  <c r="B194" i="17"/>
  <c r="C194" i="17" s="1"/>
  <c r="B193" i="17"/>
  <c r="C193" i="17" s="1"/>
  <c r="B192" i="17"/>
  <c r="C192" i="17" s="1"/>
  <c r="B191" i="17"/>
  <c r="C191" i="17" s="1"/>
  <c r="B190" i="17"/>
  <c r="C190" i="17" s="1"/>
  <c r="B189" i="17"/>
  <c r="C189" i="17" s="1"/>
  <c r="B188" i="17"/>
  <c r="C188" i="17" s="1"/>
  <c r="B187" i="17"/>
  <c r="C187" i="17" s="1"/>
  <c r="B186" i="17"/>
  <c r="C186" i="17" s="1"/>
  <c r="B185" i="17"/>
  <c r="C185" i="17" s="1"/>
  <c r="B184" i="17"/>
  <c r="C184" i="17" s="1"/>
  <c r="B183" i="17"/>
  <c r="C183" i="17" s="1"/>
  <c r="B182" i="17"/>
  <c r="C182" i="17" s="1"/>
  <c r="B181" i="17"/>
  <c r="C181" i="17" s="1"/>
  <c r="B180" i="17"/>
  <c r="C180" i="17" s="1"/>
  <c r="B179" i="17"/>
  <c r="C179" i="17" s="1"/>
  <c r="B178" i="17"/>
  <c r="C178" i="17" s="1"/>
  <c r="B177" i="17"/>
  <c r="C177" i="17" s="1"/>
  <c r="B176" i="17"/>
  <c r="C176" i="17" s="1"/>
  <c r="B175" i="17"/>
  <c r="C175" i="17" s="1"/>
  <c r="B174" i="17"/>
  <c r="C174" i="17" s="1"/>
  <c r="B173" i="17"/>
  <c r="C173" i="17" s="1"/>
  <c r="B172" i="17"/>
  <c r="C172" i="17" s="1"/>
  <c r="B171" i="17"/>
  <c r="C171" i="17" s="1"/>
  <c r="B170" i="17"/>
  <c r="C170" i="17" s="1"/>
  <c r="B169" i="17"/>
  <c r="C169" i="17" s="1"/>
  <c r="B168" i="17"/>
  <c r="C168" i="17" s="1"/>
  <c r="B167" i="17"/>
  <c r="C167" i="17" s="1"/>
  <c r="B166" i="17"/>
  <c r="C166" i="17" s="1"/>
  <c r="B165" i="17"/>
  <c r="C165" i="17" s="1"/>
  <c r="B164" i="17"/>
  <c r="C164" i="17" s="1"/>
  <c r="B163" i="17"/>
  <c r="C163" i="17" s="1"/>
  <c r="B162" i="17"/>
  <c r="C162" i="17" s="1"/>
  <c r="B161" i="17"/>
  <c r="C161" i="17" s="1"/>
  <c r="B160" i="17"/>
  <c r="C160" i="17" s="1"/>
  <c r="B159" i="17"/>
  <c r="C159" i="17" s="1"/>
  <c r="B158" i="17"/>
  <c r="C158" i="17" s="1"/>
  <c r="B157" i="17"/>
  <c r="C157" i="17" s="1"/>
  <c r="B156" i="17"/>
  <c r="C156" i="17" s="1"/>
  <c r="B155" i="17"/>
  <c r="C155" i="17" s="1"/>
  <c r="B154" i="17"/>
  <c r="C154" i="17" s="1"/>
  <c r="B153" i="17"/>
  <c r="C153" i="17" s="1"/>
  <c r="B152" i="17"/>
  <c r="C152" i="17" s="1"/>
  <c r="B151" i="17"/>
  <c r="C151" i="17" s="1"/>
  <c r="B150" i="17"/>
  <c r="C150" i="17" s="1"/>
  <c r="B149" i="17"/>
  <c r="C149" i="17" s="1"/>
  <c r="B148" i="17"/>
  <c r="C148" i="17" s="1"/>
  <c r="B147" i="17"/>
  <c r="C147" i="17" s="1"/>
  <c r="B146" i="17"/>
  <c r="C146" i="17" s="1"/>
  <c r="B145" i="17"/>
  <c r="C145" i="17" s="1"/>
  <c r="B144" i="17"/>
  <c r="C144" i="17" s="1"/>
  <c r="B143" i="17"/>
  <c r="C143" i="17" s="1"/>
  <c r="B142" i="17"/>
  <c r="C142" i="17" s="1"/>
  <c r="B141" i="17"/>
  <c r="C141" i="17" s="1"/>
  <c r="B140" i="17"/>
  <c r="C140" i="17" s="1"/>
  <c r="B139" i="17"/>
  <c r="C139" i="17" s="1"/>
  <c r="B138" i="17"/>
  <c r="C138" i="17" s="1"/>
  <c r="B137" i="17"/>
  <c r="C137" i="17" s="1"/>
  <c r="B136" i="17"/>
  <c r="C136" i="17" s="1"/>
  <c r="B135" i="17"/>
  <c r="C135" i="17" s="1"/>
  <c r="B134" i="17"/>
  <c r="C134" i="17" s="1"/>
  <c r="B133" i="17"/>
  <c r="C133" i="17" s="1"/>
  <c r="B132" i="17"/>
  <c r="C132" i="17" s="1"/>
  <c r="B131" i="17"/>
  <c r="C131" i="17" s="1"/>
  <c r="B130" i="17"/>
  <c r="C130" i="17" s="1"/>
  <c r="B129" i="17"/>
  <c r="C129" i="17" s="1"/>
  <c r="B128" i="17"/>
  <c r="C128" i="17" s="1"/>
  <c r="B127" i="17"/>
  <c r="C127" i="17" s="1"/>
  <c r="B126" i="17"/>
  <c r="C126" i="17" s="1"/>
  <c r="B125" i="17"/>
  <c r="C125" i="17" s="1"/>
  <c r="B124" i="17"/>
  <c r="C124" i="17" s="1"/>
  <c r="B123" i="17"/>
  <c r="C123" i="17" s="1"/>
  <c r="B122" i="17"/>
  <c r="C122" i="17" s="1"/>
  <c r="B121" i="17"/>
  <c r="C121" i="17" s="1"/>
  <c r="B120" i="17"/>
  <c r="C120" i="17" s="1"/>
  <c r="B119" i="17"/>
  <c r="C119" i="17" s="1"/>
  <c r="B118" i="17"/>
  <c r="C118" i="17" s="1"/>
  <c r="B117" i="17"/>
  <c r="C117" i="17" s="1"/>
  <c r="B116" i="17"/>
  <c r="C116" i="17" s="1"/>
  <c r="B115" i="17"/>
  <c r="C115" i="17" s="1"/>
  <c r="B114" i="17"/>
  <c r="C114" i="17" s="1"/>
  <c r="B113" i="17"/>
  <c r="C113" i="17" s="1"/>
  <c r="B112" i="17"/>
  <c r="C112" i="17" s="1"/>
  <c r="B111" i="17"/>
  <c r="C111" i="17" s="1"/>
  <c r="B110" i="17"/>
  <c r="C110" i="17" s="1"/>
  <c r="B109" i="17"/>
  <c r="C109" i="17" s="1"/>
  <c r="B108" i="17"/>
  <c r="C108" i="17" s="1"/>
  <c r="B107" i="17"/>
  <c r="C107" i="17" s="1"/>
  <c r="B106" i="17"/>
  <c r="C106" i="17" s="1"/>
  <c r="B105" i="17"/>
  <c r="C105" i="17" s="1"/>
  <c r="B104" i="17"/>
  <c r="C104" i="17" s="1"/>
  <c r="B103" i="17"/>
  <c r="C103" i="17" s="1"/>
  <c r="B102" i="17"/>
  <c r="C102" i="17" s="1"/>
  <c r="B101" i="17"/>
  <c r="C101" i="17" s="1"/>
  <c r="B100" i="17"/>
  <c r="C100" i="17" s="1"/>
  <c r="B99" i="17"/>
  <c r="C99" i="17" s="1"/>
  <c r="B98" i="17"/>
  <c r="C98" i="17" s="1"/>
  <c r="B97" i="17"/>
  <c r="C97" i="17" s="1"/>
  <c r="B96" i="17"/>
  <c r="C96" i="17" s="1"/>
  <c r="B95" i="17"/>
  <c r="C95" i="17" s="1"/>
  <c r="B94" i="17"/>
  <c r="C94" i="17" s="1"/>
  <c r="B93" i="17"/>
  <c r="C93" i="17" s="1"/>
  <c r="B92" i="17"/>
  <c r="C92" i="17" s="1"/>
  <c r="B91" i="17"/>
  <c r="C91" i="17" s="1"/>
  <c r="B90" i="17"/>
  <c r="C90" i="17" s="1"/>
  <c r="B89" i="17"/>
  <c r="C89" i="17" s="1"/>
  <c r="B88" i="17"/>
  <c r="C88" i="17" s="1"/>
  <c r="B87" i="17"/>
  <c r="C87" i="17" s="1"/>
  <c r="B86" i="17"/>
  <c r="C86" i="17" s="1"/>
  <c r="B85" i="17"/>
  <c r="C85" i="17" s="1"/>
  <c r="B84" i="17"/>
  <c r="C84" i="17" s="1"/>
  <c r="B83" i="17"/>
  <c r="C83" i="17" s="1"/>
  <c r="B82" i="17"/>
  <c r="C82" i="17" s="1"/>
  <c r="B81" i="17"/>
  <c r="C81" i="17" s="1"/>
  <c r="B80" i="17"/>
  <c r="C80" i="17" s="1"/>
  <c r="B79" i="17"/>
  <c r="C79" i="17" s="1"/>
  <c r="B78" i="17"/>
  <c r="C78" i="17" s="1"/>
  <c r="B77" i="17"/>
  <c r="C77" i="17" s="1"/>
  <c r="B76" i="17"/>
  <c r="C76" i="17" s="1"/>
  <c r="B75" i="17"/>
  <c r="C75" i="17" s="1"/>
  <c r="B74" i="17"/>
  <c r="C74" i="17" s="1"/>
  <c r="B73" i="17"/>
  <c r="C73" i="17" s="1"/>
  <c r="B72" i="17"/>
  <c r="C72" i="17" s="1"/>
  <c r="B71" i="17"/>
  <c r="C71" i="17" s="1"/>
  <c r="B70" i="17"/>
  <c r="C70" i="17" s="1"/>
  <c r="B69" i="17"/>
  <c r="C69" i="17" s="1"/>
  <c r="B68" i="17"/>
  <c r="C68" i="17" s="1"/>
  <c r="B67" i="17"/>
  <c r="C67" i="17" s="1"/>
  <c r="B66" i="17"/>
  <c r="C66" i="17" s="1"/>
  <c r="B65" i="17"/>
  <c r="C65" i="17" s="1"/>
  <c r="B64" i="17"/>
  <c r="C64" i="17" s="1"/>
  <c r="B63" i="17"/>
  <c r="C63" i="17" s="1"/>
  <c r="B62" i="17"/>
  <c r="C62" i="17" s="1"/>
  <c r="B61" i="17"/>
  <c r="C61" i="17" s="1"/>
  <c r="B60" i="17"/>
  <c r="C60" i="17" s="1"/>
  <c r="B59" i="17"/>
  <c r="C59" i="17" s="1"/>
  <c r="B58" i="17"/>
  <c r="C58" i="17" s="1"/>
  <c r="B57" i="17"/>
  <c r="C57" i="17" s="1"/>
  <c r="B56" i="17"/>
  <c r="C56" i="17" s="1"/>
  <c r="B55" i="17"/>
  <c r="C55" i="17" s="1"/>
  <c r="B54" i="17"/>
  <c r="C54" i="17" s="1"/>
  <c r="B53" i="17"/>
  <c r="C53" i="17" s="1"/>
  <c r="B52" i="17"/>
  <c r="C52" i="17" s="1"/>
  <c r="B51" i="17"/>
  <c r="C51" i="17" s="1"/>
  <c r="B50" i="17"/>
  <c r="C50" i="17" s="1"/>
  <c r="B49" i="17"/>
  <c r="C49" i="17" s="1"/>
  <c r="B48" i="17"/>
  <c r="C48" i="17" s="1"/>
  <c r="B47" i="17"/>
  <c r="C47" i="17" s="1"/>
  <c r="B46" i="17"/>
  <c r="C46" i="17" s="1"/>
  <c r="B45" i="17"/>
  <c r="C45" i="17" s="1"/>
  <c r="B44" i="17"/>
  <c r="C44" i="17" s="1"/>
  <c r="B43" i="17"/>
  <c r="C43" i="17" s="1"/>
  <c r="B42" i="17"/>
  <c r="C42" i="17" s="1"/>
  <c r="B41" i="17"/>
  <c r="C41" i="17" s="1"/>
  <c r="B40" i="17"/>
  <c r="C40" i="17" s="1"/>
  <c r="B39" i="17"/>
  <c r="C39" i="17" s="1"/>
  <c r="B38" i="17"/>
  <c r="C38" i="17" s="1"/>
  <c r="B37" i="17"/>
  <c r="C37" i="17" s="1"/>
  <c r="B36" i="17"/>
  <c r="C36" i="17" s="1"/>
  <c r="B35" i="17"/>
  <c r="C35" i="17" s="1"/>
  <c r="B34" i="17"/>
  <c r="C34" i="17" s="1"/>
  <c r="B33" i="17"/>
  <c r="C33" i="17" s="1"/>
  <c r="B32" i="17"/>
  <c r="C32" i="17" s="1"/>
  <c r="B31" i="17"/>
  <c r="C31" i="17" s="1"/>
  <c r="B30" i="17"/>
  <c r="C30" i="17" s="1"/>
  <c r="B29" i="17"/>
  <c r="C29" i="17" s="1"/>
  <c r="B28" i="17"/>
  <c r="C28" i="17" s="1"/>
  <c r="B27" i="17"/>
  <c r="C27" i="17" s="1"/>
  <c r="B26" i="17"/>
  <c r="C26" i="17" s="1"/>
  <c r="B25" i="17"/>
  <c r="C25" i="17" s="1"/>
  <c r="B24" i="17"/>
  <c r="C24" i="17" s="1"/>
  <c r="B23" i="17"/>
  <c r="C23" i="17" s="1"/>
  <c r="B22" i="17"/>
  <c r="C22" i="17" s="1"/>
  <c r="B21" i="17"/>
  <c r="C21" i="17" s="1"/>
  <c r="B20" i="17"/>
  <c r="C20" i="17" s="1"/>
  <c r="B19" i="17"/>
  <c r="C19" i="17" s="1"/>
  <c r="B18" i="17"/>
  <c r="C18" i="17" s="1"/>
  <c r="B17" i="17"/>
  <c r="C17" i="17" s="1"/>
  <c r="B16" i="17"/>
  <c r="C16" i="17" s="1"/>
  <c r="B15" i="17"/>
  <c r="C15" i="17" s="1"/>
  <c r="B14" i="17"/>
  <c r="C14" i="17" s="1"/>
  <c r="B13" i="17"/>
  <c r="C13" i="17" s="1"/>
  <c r="B12" i="17"/>
  <c r="C12" i="17" s="1"/>
  <c r="B11" i="17"/>
  <c r="C11" i="17" s="1"/>
  <c r="B10" i="17"/>
  <c r="C10" i="17" s="1"/>
  <c r="B9" i="17"/>
  <c r="C9" i="17" s="1"/>
  <c r="B8" i="17"/>
  <c r="C8" i="17" s="1"/>
  <c r="B7" i="17"/>
  <c r="C7" i="17" s="1"/>
  <c r="B6" i="17"/>
  <c r="C6" i="17" s="1"/>
  <c r="B5" i="17"/>
  <c r="C5" i="17" s="1"/>
  <c r="B4" i="17"/>
  <c r="C4" i="17" s="1"/>
  <c r="B3" i="17"/>
  <c r="C3" i="17" s="1"/>
  <c r="B2" i="17"/>
  <c r="C2" i="17" s="1"/>
  <c r="D2" i="17" s="1"/>
  <c r="D3" i="17" s="1"/>
  <c r="C6" i="16"/>
  <c r="D6" i="16" s="1"/>
  <c r="C5" i="16"/>
  <c r="D5" i="16" s="1"/>
  <c r="C4" i="16"/>
  <c r="D4" i="16" s="1"/>
  <c r="C3" i="16"/>
  <c r="D3" i="16" s="1"/>
  <c r="C2" i="16"/>
  <c r="D2" i="16" s="1"/>
  <c r="C2" i="15"/>
  <c r="D2" i="15" s="1"/>
  <c r="C2" i="14"/>
  <c r="D2" i="14" s="1"/>
  <c r="B1001" i="12"/>
  <c r="C1001" i="12" s="1"/>
  <c r="B1000" i="12"/>
  <c r="C1000" i="12" s="1"/>
  <c r="E1000" i="12" s="1"/>
  <c r="B999" i="12"/>
  <c r="C999" i="12" s="1"/>
  <c r="B998" i="12"/>
  <c r="C998" i="12" s="1"/>
  <c r="E998" i="12" s="1"/>
  <c r="B997" i="12"/>
  <c r="B996" i="12"/>
  <c r="C996" i="12" s="1"/>
  <c r="E996" i="12" s="1"/>
  <c r="B995" i="12"/>
  <c r="C995" i="12" s="1"/>
  <c r="B994" i="12"/>
  <c r="B993" i="12"/>
  <c r="B992" i="12"/>
  <c r="C992" i="12" s="1"/>
  <c r="E992" i="12" s="1"/>
  <c r="B991" i="12"/>
  <c r="C991" i="12" s="1"/>
  <c r="E991" i="12" s="1"/>
  <c r="B990" i="12"/>
  <c r="C990" i="12" s="1"/>
  <c r="E990" i="12" s="1"/>
  <c r="B989" i="12"/>
  <c r="B988" i="12"/>
  <c r="C988" i="12" s="1"/>
  <c r="E988" i="12" s="1"/>
  <c r="B987" i="12"/>
  <c r="B986" i="12"/>
  <c r="C986" i="12" s="1"/>
  <c r="E986" i="12" s="1"/>
  <c r="B985" i="12"/>
  <c r="B984" i="12"/>
  <c r="B983" i="12"/>
  <c r="C983" i="12" s="1"/>
  <c r="B982" i="12"/>
  <c r="C982" i="12" s="1"/>
  <c r="E982" i="12" s="1"/>
  <c r="B981" i="12"/>
  <c r="B980" i="12"/>
  <c r="C980" i="12" s="1"/>
  <c r="E980" i="12" s="1"/>
  <c r="B979" i="12"/>
  <c r="C979" i="12" s="1"/>
  <c r="B978" i="12"/>
  <c r="C978" i="12" s="1"/>
  <c r="E978" i="12" s="1"/>
  <c r="B977" i="12"/>
  <c r="C977" i="12" s="1"/>
  <c r="B976" i="12"/>
  <c r="C976" i="12" s="1"/>
  <c r="B975" i="12"/>
  <c r="C975" i="12" s="1"/>
  <c r="E975" i="12" s="1"/>
  <c r="B974" i="12"/>
  <c r="C974" i="12" s="1"/>
  <c r="E974" i="12" s="1"/>
  <c r="B973" i="12"/>
  <c r="B972" i="12"/>
  <c r="B971" i="12"/>
  <c r="C971" i="12" s="1"/>
  <c r="B970" i="12"/>
  <c r="B969" i="12"/>
  <c r="C969" i="12" s="1"/>
  <c r="B968" i="12"/>
  <c r="C968" i="12" s="1"/>
  <c r="E968" i="12" s="1"/>
  <c r="B967" i="12"/>
  <c r="B966" i="12"/>
  <c r="C966" i="12" s="1"/>
  <c r="E966" i="12" s="1"/>
  <c r="B965" i="12"/>
  <c r="C965" i="12" s="1"/>
  <c r="B964" i="12"/>
  <c r="C964" i="12" s="1"/>
  <c r="E964" i="12" s="1"/>
  <c r="B963" i="12"/>
  <c r="C963" i="12" s="1"/>
  <c r="B962" i="12"/>
  <c r="C962" i="12" s="1"/>
  <c r="B961" i="12"/>
  <c r="B960" i="12"/>
  <c r="C960" i="12" s="1"/>
  <c r="B959" i="12"/>
  <c r="C959" i="12" s="1"/>
  <c r="B958" i="12"/>
  <c r="C958" i="12" s="1"/>
  <c r="B957" i="12"/>
  <c r="C957" i="12" s="1"/>
  <c r="B956" i="12"/>
  <c r="C956" i="12" s="1"/>
  <c r="B955" i="12"/>
  <c r="C955" i="12" s="1"/>
  <c r="B954" i="12"/>
  <c r="B953" i="12"/>
  <c r="C953" i="12" s="1"/>
  <c r="E953" i="12" s="1"/>
  <c r="B952" i="12"/>
  <c r="B951" i="12"/>
  <c r="C951" i="12" s="1"/>
  <c r="B950" i="12"/>
  <c r="B949" i="12"/>
  <c r="C949" i="12" s="1"/>
  <c r="B948" i="12"/>
  <c r="B947" i="12"/>
  <c r="C947" i="12" s="1"/>
  <c r="B946" i="12"/>
  <c r="B945" i="12"/>
  <c r="C945" i="12" s="1"/>
  <c r="B944" i="12"/>
  <c r="B943" i="12"/>
  <c r="C943" i="12" s="1"/>
  <c r="B942" i="12"/>
  <c r="B941" i="12"/>
  <c r="C941" i="12" s="1"/>
  <c r="E941" i="12" s="1"/>
  <c r="B940" i="12"/>
  <c r="B939" i="12"/>
  <c r="C939" i="12" s="1"/>
  <c r="B938" i="12"/>
  <c r="B937" i="12"/>
  <c r="C937" i="12" s="1"/>
  <c r="B936" i="12"/>
  <c r="B935" i="12"/>
  <c r="C935" i="12" s="1"/>
  <c r="E935" i="12" s="1"/>
  <c r="B934" i="12"/>
  <c r="B933" i="12"/>
  <c r="C933" i="12" s="1"/>
  <c r="B932" i="12"/>
  <c r="B931" i="12"/>
  <c r="C931" i="12" s="1"/>
  <c r="B930" i="12"/>
  <c r="B929" i="12"/>
  <c r="C929" i="12" s="1"/>
  <c r="E929" i="12" s="1"/>
  <c r="B928" i="12"/>
  <c r="B927" i="12"/>
  <c r="C927" i="12" s="1"/>
  <c r="B926" i="12"/>
  <c r="B925" i="12"/>
  <c r="C925" i="12" s="1"/>
  <c r="B924" i="12"/>
  <c r="B923" i="12"/>
  <c r="C923" i="12" s="1"/>
  <c r="B922" i="12"/>
  <c r="B921" i="12"/>
  <c r="C921" i="12" s="1"/>
  <c r="B920" i="12"/>
  <c r="B919" i="12"/>
  <c r="C919" i="12" s="1"/>
  <c r="B918" i="12"/>
  <c r="B917" i="12"/>
  <c r="C917" i="12" s="1"/>
  <c r="E917" i="12" s="1"/>
  <c r="B916" i="12"/>
  <c r="B915" i="12"/>
  <c r="C915" i="12" s="1"/>
  <c r="B914" i="12"/>
  <c r="B913" i="12"/>
  <c r="C913" i="12" s="1"/>
  <c r="B912" i="12"/>
  <c r="B911" i="12"/>
  <c r="C911" i="12" s="1"/>
  <c r="E911" i="12" s="1"/>
  <c r="B910" i="12"/>
  <c r="B909" i="12"/>
  <c r="C909" i="12" s="1"/>
  <c r="B908" i="12"/>
  <c r="B907" i="12"/>
  <c r="C907" i="12" s="1"/>
  <c r="B906" i="12"/>
  <c r="B905" i="12"/>
  <c r="C905" i="12" s="1"/>
  <c r="E905" i="12" s="1"/>
  <c r="B904" i="12"/>
  <c r="B903" i="12"/>
  <c r="C903" i="12" s="1"/>
  <c r="B902" i="12"/>
  <c r="B901" i="12"/>
  <c r="C901" i="12" s="1"/>
  <c r="B900" i="12"/>
  <c r="B899" i="12"/>
  <c r="C899" i="12" s="1"/>
  <c r="B898" i="12"/>
  <c r="B897" i="12"/>
  <c r="C897" i="12" s="1"/>
  <c r="B896" i="12"/>
  <c r="B895" i="12"/>
  <c r="C895" i="12" s="1"/>
  <c r="B894" i="12"/>
  <c r="B893" i="12"/>
  <c r="C893" i="12" s="1"/>
  <c r="E893" i="12" s="1"/>
  <c r="B892" i="12"/>
  <c r="B891" i="12"/>
  <c r="C891" i="12" s="1"/>
  <c r="B890" i="12"/>
  <c r="B889" i="12"/>
  <c r="C889" i="12" s="1"/>
  <c r="B888" i="12"/>
  <c r="B887" i="12"/>
  <c r="C887" i="12" s="1"/>
  <c r="E887" i="12" s="1"/>
  <c r="B886" i="12"/>
  <c r="B885" i="12"/>
  <c r="C885" i="12" s="1"/>
  <c r="B884" i="12"/>
  <c r="B883" i="12"/>
  <c r="C883" i="12" s="1"/>
  <c r="B882" i="12"/>
  <c r="B881" i="12"/>
  <c r="C881" i="12" s="1"/>
  <c r="E881" i="12" s="1"/>
  <c r="B880" i="12"/>
  <c r="B879" i="12"/>
  <c r="C879" i="12" s="1"/>
  <c r="B878" i="12"/>
  <c r="B877" i="12"/>
  <c r="C877" i="12" s="1"/>
  <c r="B876" i="12"/>
  <c r="B875" i="12"/>
  <c r="C875" i="12" s="1"/>
  <c r="B874" i="12"/>
  <c r="B873" i="12"/>
  <c r="C873" i="12" s="1"/>
  <c r="B872" i="12"/>
  <c r="B871" i="12"/>
  <c r="C871" i="12" s="1"/>
  <c r="B870" i="12"/>
  <c r="B869" i="12"/>
  <c r="C869" i="12" s="1"/>
  <c r="E869" i="12" s="1"/>
  <c r="B868" i="12"/>
  <c r="B867" i="12"/>
  <c r="B866" i="12"/>
  <c r="B865" i="12"/>
  <c r="C865" i="12" s="1"/>
  <c r="B864" i="12"/>
  <c r="B863" i="12"/>
  <c r="C863" i="12" s="1"/>
  <c r="E863" i="12" s="1"/>
  <c r="B862" i="12"/>
  <c r="B861" i="12"/>
  <c r="B860" i="12"/>
  <c r="B859" i="12"/>
  <c r="C859" i="12" s="1"/>
  <c r="B858" i="12"/>
  <c r="B857" i="12"/>
  <c r="C857" i="12" s="1"/>
  <c r="B856" i="12"/>
  <c r="B855" i="12"/>
  <c r="B854" i="12"/>
  <c r="B853" i="12"/>
  <c r="C853" i="12" s="1"/>
  <c r="B852" i="12"/>
  <c r="B851" i="12"/>
  <c r="C851" i="12" s="1"/>
  <c r="B850" i="12"/>
  <c r="B849" i="12"/>
  <c r="B848" i="12"/>
  <c r="B847" i="12"/>
  <c r="C847" i="12" s="1"/>
  <c r="B846" i="12"/>
  <c r="B845" i="12"/>
  <c r="C845" i="12" s="1"/>
  <c r="E845" i="12" s="1"/>
  <c r="B844" i="12"/>
  <c r="C844" i="12" s="1"/>
  <c r="B843" i="12"/>
  <c r="C843" i="12" s="1"/>
  <c r="B842" i="12"/>
  <c r="B841" i="12"/>
  <c r="B840" i="12"/>
  <c r="C840" i="12" s="1"/>
  <c r="B839" i="12"/>
  <c r="C839" i="12" s="1"/>
  <c r="E839" i="12" s="1"/>
  <c r="B838" i="12"/>
  <c r="C838" i="12" s="1"/>
  <c r="B837" i="12"/>
  <c r="C837" i="12" s="1"/>
  <c r="B836" i="12"/>
  <c r="B835" i="12"/>
  <c r="B834" i="12"/>
  <c r="C834" i="12" s="1"/>
  <c r="B833" i="12"/>
  <c r="C833" i="12" s="1"/>
  <c r="E833" i="12" s="1"/>
  <c r="B832" i="12"/>
  <c r="C832" i="12" s="1"/>
  <c r="B831" i="12"/>
  <c r="C831" i="12" s="1"/>
  <c r="B830" i="12"/>
  <c r="B829" i="12"/>
  <c r="B828" i="12"/>
  <c r="C828" i="12" s="1"/>
  <c r="B827" i="12"/>
  <c r="C827" i="12" s="1"/>
  <c r="B826" i="12"/>
  <c r="C826" i="12" s="1"/>
  <c r="B825" i="12"/>
  <c r="B824" i="12"/>
  <c r="B823" i="12"/>
  <c r="B822" i="12"/>
  <c r="C822" i="12" s="1"/>
  <c r="B821" i="12"/>
  <c r="C821" i="12" s="1"/>
  <c r="B820" i="12"/>
  <c r="C820" i="12" s="1"/>
  <c r="B819" i="12"/>
  <c r="C819" i="12" s="1"/>
  <c r="B818" i="12"/>
  <c r="B817" i="12"/>
  <c r="B816" i="12"/>
  <c r="C816" i="12" s="1"/>
  <c r="B815" i="12"/>
  <c r="B814" i="12"/>
  <c r="C814" i="12" s="1"/>
  <c r="B813" i="12"/>
  <c r="C813" i="12" s="1"/>
  <c r="B812" i="12"/>
  <c r="B811" i="12"/>
  <c r="C811" i="12" s="1"/>
  <c r="B810" i="12"/>
  <c r="C810" i="12" s="1"/>
  <c r="B809" i="12"/>
  <c r="B808" i="12"/>
  <c r="C808" i="12" s="1"/>
  <c r="B807" i="12"/>
  <c r="C807" i="12" s="1"/>
  <c r="B806" i="12"/>
  <c r="B805" i="12"/>
  <c r="B804" i="12"/>
  <c r="C804" i="12" s="1"/>
  <c r="B803" i="12"/>
  <c r="B802" i="12"/>
  <c r="C802" i="12" s="1"/>
  <c r="B801" i="12"/>
  <c r="C801" i="12" s="1"/>
  <c r="B800" i="12"/>
  <c r="B799" i="12"/>
  <c r="B798" i="12"/>
  <c r="C798" i="12" s="1"/>
  <c r="B797" i="12"/>
  <c r="B796" i="12"/>
  <c r="C796" i="12" s="1"/>
  <c r="B795" i="12"/>
  <c r="C795" i="12" s="1"/>
  <c r="B794" i="12"/>
  <c r="B793" i="12"/>
  <c r="B792" i="12"/>
  <c r="C792" i="12" s="1"/>
  <c r="B791" i="12"/>
  <c r="C791" i="12" s="1"/>
  <c r="E791" i="12" s="1"/>
  <c r="B790" i="12"/>
  <c r="B789" i="12"/>
  <c r="B788" i="12"/>
  <c r="B787" i="12"/>
  <c r="C787" i="12" s="1"/>
  <c r="B786" i="12"/>
  <c r="C786" i="12" s="1"/>
  <c r="B785" i="12"/>
  <c r="C785" i="12" s="1"/>
  <c r="B784" i="12"/>
  <c r="C784" i="12" s="1"/>
  <c r="B783" i="12"/>
  <c r="B782" i="12"/>
  <c r="B781" i="12"/>
  <c r="B780" i="12"/>
  <c r="C780" i="12" s="1"/>
  <c r="B779" i="12"/>
  <c r="B778" i="12"/>
  <c r="C778" i="12" s="1"/>
  <c r="B777" i="12"/>
  <c r="C777" i="12" s="1"/>
  <c r="B776" i="12"/>
  <c r="B775" i="12"/>
  <c r="C775" i="12" s="1"/>
  <c r="B774" i="12"/>
  <c r="C774" i="12" s="1"/>
  <c r="B773" i="12"/>
  <c r="C773" i="12" s="1"/>
  <c r="E773" i="12" s="1"/>
  <c r="B772" i="12"/>
  <c r="C772" i="12" s="1"/>
  <c r="B771" i="12"/>
  <c r="B770" i="12"/>
  <c r="B769" i="12"/>
  <c r="B768" i="12"/>
  <c r="C768" i="12" s="1"/>
  <c r="B767" i="12"/>
  <c r="C767" i="12" s="1"/>
  <c r="E767" i="12" s="1"/>
  <c r="B766" i="12"/>
  <c r="C766" i="12" s="1"/>
  <c r="B765" i="12"/>
  <c r="C765" i="12" s="1"/>
  <c r="B764" i="12"/>
  <c r="B763" i="12"/>
  <c r="C763" i="12" s="1"/>
  <c r="B762" i="12"/>
  <c r="C762" i="12" s="1"/>
  <c r="B761" i="12"/>
  <c r="C761" i="12" s="1"/>
  <c r="E761" i="12" s="1"/>
  <c r="B760" i="12"/>
  <c r="C760" i="12" s="1"/>
  <c r="B759" i="12"/>
  <c r="B758" i="12"/>
  <c r="B757" i="12"/>
  <c r="B756" i="12"/>
  <c r="C756" i="12" s="1"/>
  <c r="B755" i="12"/>
  <c r="B754" i="12"/>
  <c r="B753" i="12"/>
  <c r="C753" i="12" s="1"/>
  <c r="B752" i="12"/>
  <c r="B751" i="12"/>
  <c r="C751" i="12" s="1"/>
  <c r="B750" i="12"/>
  <c r="C750" i="12" s="1"/>
  <c r="B749" i="12"/>
  <c r="C749" i="12" s="1"/>
  <c r="E749" i="12" s="1"/>
  <c r="B748" i="12"/>
  <c r="C748" i="12" s="1"/>
  <c r="B747" i="12"/>
  <c r="C747" i="12" s="1"/>
  <c r="B746" i="12"/>
  <c r="B745" i="12"/>
  <c r="B744" i="12"/>
  <c r="C744" i="12" s="1"/>
  <c r="B743" i="12"/>
  <c r="C743" i="12" s="1"/>
  <c r="E743" i="12" s="1"/>
  <c r="B742" i="12"/>
  <c r="C742" i="12" s="1"/>
  <c r="B741" i="12"/>
  <c r="B740" i="12"/>
  <c r="B739" i="12"/>
  <c r="C739" i="12" s="1"/>
  <c r="B738" i="12"/>
  <c r="C738" i="12" s="1"/>
  <c r="B737" i="12"/>
  <c r="B736" i="12"/>
  <c r="C736" i="12" s="1"/>
  <c r="B735" i="12"/>
  <c r="B734" i="12"/>
  <c r="B733" i="12"/>
  <c r="C733" i="12" s="1"/>
  <c r="B732" i="12"/>
  <c r="C732" i="12" s="1"/>
  <c r="B731" i="12"/>
  <c r="C731" i="12" s="1"/>
  <c r="E731" i="12" s="1"/>
  <c r="B730" i="12"/>
  <c r="C730" i="12" s="1"/>
  <c r="B729" i="12"/>
  <c r="B728" i="12"/>
  <c r="B727" i="12"/>
  <c r="C727" i="12" s="1"/>
  <c r="B726" i="12"/>
  <c r="C726" i="12" s="1"/>
  <c r="B725" i="12"/>
  <c r="C725" i="12" s="1"/>
  <c r="E725" i="12" s="1"/>
  <c r="B724" i="12"/>
  <c r="C724" i="12" s="1"/>
  <c r="B723" i="12"/>
  <c r="B722" i="12"/>
  <c r="B721" i="12"/>
  <c r="C721" i="12" s="1"/>
  <c r="B720" i="12"/>
  <c r="C720" i="12" s="1"/>
  <c r="B719" i="12"/>
  <c r="B718" i="12"/>
  <c r="C718" i="12" s="1"/>
  <c r="B717" i="12"/>
  <c r="B716" i="12"/>
  <c r="B715" i="12"/>
  <c r="C715" i="12" s="1"/>
  <c r="B714" i="12"/>
  <c r="C714" i="12" s="1"/>
  <c r="B713" i="12"/>
  <c r="C713" i="12" s="1"/>
  <c r="E713" i="12" s="1"/>
  <c r="B712" i="12"/>
  <c r="C712" i="12" s="1"/>
  <c r="B711" i="12"/>
  <c r="B710" i="12"/>
  <c r="B709" i="12"/>
  <c r="C709" i="12" s="1"/>
  <c r="B708" i="12"/>
  <c r="C708" i="12" s="1"/>
  <c r="B707" i="12"/>
  <c r="C707" i="12" s="1"/>
  <c r="B706" i="12"/>
  <c r="C706" i="12" s="1"/>
  <c r="B705" i="12"/>
  <c r="B704" i="12"/>
  <c r="B703" i="12"/>
  <c r="C703" i="12" s="1"/>
  <c r="B702" i="12"/>
  <c r="C702" i="12" s="1"/>
  <c r="B701" i="12"/>
  <c r="B700" i="12"/>
  <c r="C700" i="12" s="1"/>
  <c r="B699" i="12"/>
  <c r="B698" i="12"/>
  <c r="B697" i="12"/>
  <c r="C697" i="12" s="1"/>
  <c r="B696" i="12"/>
  <c r="C696" i="12" s="1"/>
  <c r="B695" i="12"/>
  <c r="C695" i="12" s="1"/>
  <c r="E695" i="12" s="1"/>
  <c r="B694" i="12"/>
  <c r="C694" i="12" s="1"/>
  <c r="B693" i="12"/>
  <c r="B692" i="12"/>
  <c r="B691" i="12"/>
  <c r="C691" i="12" s="1"/>
  <c r="B690" i="12"/>
  <c r="B689" i="12"/>
  <c r="C689" i="12" s="1"/>
  <c r="E689" i="12" s="1"/>
  <c r="B688" i="12"/>
  <c r="C688" i="12" s="1"/>
  <c r="B687" i="12"/>
  <c r="C687" i="12" s="1"/>
  <c r="E687" i="12" s="1"/>
  <c r="B686" i="12"/>
  <c r="B685" i="12"/>
  <c r="C685" i="12" s="1"/>
  <c r="E685" i="12" s="1"/>
  <c r="B684" i="12"/>
  <c r="C684" i="12" s="1"/>
  <c r="B683" i="12"/>
  <c r="C683" i="12" s="1"/>
  <c r="E683" i="12" s="1"/>
  <c r="B682" i="12"/>
  <c r="B681" i="12"/>
  <c r="B680" i="12"/>
  <c r="C680" i="12" s="1"/>
  <c r="E680" i="12" s="1"/>
  <c r="B679" i="12"/>
  <c r="C679" i="12" s="1"/>
  <c r="B678" i="12"/>
  <c r="C678" i="12" s="1"/>
  <c r="B677" i="12"/>
  <c r="B676" i="12"/>
  <c r="C676" i="12" s="1"/>
  <c r="B675" i="12"/>
  <c r="C675" i="12" s="1"/>
  <c r="E675" i="12" s="1"/>
  <c r="B674" i="12"/>
  <c r="B673" i="12"/>
  <c r="C673" i="12" s="1"/>
  <c r="B672" i="12"/>
  <c r="B671" i="12"/>
  <c r="C671" i="12" s="1"/>
  <c r="E671" i="12" s="1"/>
  <c r="B670" i="12"/>
  <c r="C670" i="12" s="1"/>
  <c r="B669" i="12"/>
  <c r="C669" i="12" s="1"/>
  <c r="E669" i="12" s="1"/>
  <c r="B668" i="12"/>
  <c r="B667" i="12"/>
  <c r="B666" i="12"/>
  <c r="C666" i="12" s="1"/>
  <c r="B665" i="12"/>
  <c r="C665" i="12" s="1"/>
  <c r="E665" i="12" s="1"/>
  <c r="B664" i="12"/>
  <c r="C664" i="12" s="1"/>
  <c r="B663" i="12"/>
  <c r="C663" i="12" s="1"/>
  <c r="E663" i="12" s="1"/>
  <c r="B662" i="12"/>
  <c r="B661" i="12"/>
  <c r="C661" i="12" s="1"/>
  <c r="B660" i="12"/>
  <c r="B659" i="12"/>
  <c r="C659" i="12" s="1"/>
  <c r="E659" i="12" s="1"/>
  <c r="B658" i="12"/>
  <c r="C658" i="12" s="1"/>
  <c r="B657" i="12"/>
  <c r="C657" i="12" s="1"/>
  <c r="E657" i="12" s="1"/>
  <c r="B656" i="12"/>
  <c r="B655" i="12"/>
  <c r="B654" i="12"/>
  <c r="C654" i="12" s="1"/>
  <c r="B653" i="12"/>
  <c r="C653" i="12" s="1"/>
  <c r="E653" i="12" s="1"/>
  <c r="B652" i="12"/>
  <c r="C652" i="12" s="1"/>
  <c r="B651" i="12"/>
  <c r="C651" i="12" s="1"/>
  <c r="E651" i="12" s="1"/>
  <c r="B650" i="12"/>
  <c r="B649" i="12"/>
  <c r="C649" i="12" s="1"/>
  <c r="B648" i="12"/>
  <c r="B647" i="12"/>
  <c r="C647" i="12" s="1"/>
  <c r="E647" i="12" s="1"/>
  <c r="B646" i="12"/>
  <c r="C646" i="12" s="1"/>
  <c r="B645" i="12"/>
  <c r="C645" i="12" s="1"/>
  <c r="E645" i="12" s="1"/>
  <c r="B644" i="12"/>
  <c r="B643" i="12"/>
  <c r="B642" i="12"/>
  <c r="C642" i="12" s="1"/>
  <c r="B641" i="12"/>
  <c r="C641" i="12" s="1"/>
  <c r="E641" i="12" s="1"/>
  <c r="B640" i="12"/>
  <c r="C640" i="12" s="1"/>
  <c r="B639" i="12"/>
  <c r="C639" i="12" s="1"/>
  <c r="E639" i="12" s="1"/>
  <c r="B638" i="12"/>
  <c r="B637" i="12"/>
  <c r="C637" i="12" s="1"/>
  <c r="B636" i="12"/>
  <c r="B635" i="12"/>
  <c r="B634" i="12"/>
  <c r="C634" i="12" s="1"/>
  <c r="B633" i="12"/>
  <c r="C633" i="12" s="1"/>
  <c r="E633" i="12" s="1"/>
  <c r="B632" i="12"/>
  <c r="B631" i="12"/>
  <c r="B630" i="12"/>
  <c r="C630" i="12" s="1"/>
  <c r="B629" i="12"/>
  <c r="C629" i="12" s="1"/>
  <c r="E629" i="12" s="1"/>
  <c r="B628" i="12"/>
  <c r="C628" i="12" s="1"/>
  <c r="B627" i="12"/>
  <c r="C627" i="12" s="1"/>
  <c r="E627" i="12" s="1"/>
  <c r="B626" i="12"/>
  <c r="B625" i="12"/>
  <c r="C625" i="12" s="1"/>
  <c r="B624" i="12"/>
  <c r="B623" i="12"/>
  <c r="C623" i="12" s="1"/>
  <c r="E623" i="12" s="1"/>
  <c r="B622" i="12"/>
  <c r="C622" i="12" s="1"/>
  <c r="B621" i="12"/>
  <c r="C621" i="12" s="1"/>
  <c r="E621" i="12" s="1"/>
  <c r="B620" i="12"/>
  <c r="B619" i="12"/>
  <c r="B618" i="12"/>
  <c r="C618" i="12" s="1"/>
  <c r="B617" i="12"/>
  <c r="C617" i="12" s="1"/>
  <c r="E617" i="12" s="1"/>
  <c r="B616" i="12"/>
  <c r="C616" i="12" s="1"/>
  <c r="B615" i="12"/>
  <c r="C615" i="12" s="1"/>
  <c r="E615" i="12" s="1"/>
  <c r="B614" i="12"/>
  <c r="B613" i="12"/>
  <c r="C613" i="12" s="1"/>
  <c r="B612" i="12"/>
  <c r="B611" i="12"/>
  <c r="C611" i="12" s="1"/>
  <c r="B610" i="12"/>
  <c r="C610" i="12" s="1"/>
  <c r="B609" i="12"/>
  <c r="C609" i="12" s="1"/>
  <c r="E609" i="12" s="1"/>
  <c r="B608" i="12"/>
  <c r="B607" i="12"/>
  <c r="B606" i="12"/>
  <c r="C606" i="12" s="1"/>
  <c r="B605" i="12"/>
  <c r="C605" i="12" s="1"/>
  <c r="E605" i="12" s="1"/>
  <c r="B604" i="12"/>
  <c r="C604" i="12" s="1"/>
  <c r="B603" i="12"/>
  <c r="C603" i="12" s="1"/>
  <c r="E603" i="12" s="1"/>
  <c r="B602" i="12"/>
  <c r="B601" i="12"/>
  <c r="C601" i="12" s="1"/>
  <c r="B600" i="12"/>
  <c r="B599" i="12"/>
  <c r="C599" i="12" s="1"/>
  <c r="B598" i="12"/>
  <c r="C598" i="12" s="1"/>
  <c r="B597" i="12"/>
  <c r="C597" i="12" s="1"/>
  <c r="E597" i="12" s="1"/>
  <c r="B596" i="12"/>
  <c r="B595" i="12"/>
  <c r="B594" i="12"/>
  <c r="C594" i="12" s="1"/>
  <c r="B593" i="12"/>
  <c r="C593" i="12" s="1"/>
  <c r="E593" i="12" s="1"/>
  <c r="B592" i="12"/>
  <c r="C592" i="12" s="1"/>
  <c r="B591" i="12"/>
  <c r="C591" i="12" s="1"/>
  <c r="E591" i="12" s="1"/>
  <c r="B590" i="12"/>
  <c r="B589" i="12"/>
  <c r="C589" i="12" s="1"/>
  <c r="B588" i="12"/>
  <c r="B587" i="12"/>
  <c r="C587" i="12" s="1"/>
  <c r="E587" i="12" s="1"/>
  <c r="B586" i="12"/>
  <c r="C586" i="12" s="1"/>
  <c r="B585" i="12"/>
  <c r="C585" i="12" s="1"/>
  <c r="E585" i="12" s="1"/>
  <c r="B584" i="12"/>
  <c r="B583" i="12"/>
  <c r="B582" i="12"/>
  <c r="C582" i="12" s="1"/>
  <c r="B581" i="12"/>
  <c r="C581" i="12" s="1"/>
  <c r="E581" i="12" s="1"/>
  <c r="B580" i="12"/>
  <c r="C580" i="12" s="1"/>
  <c r="B579" i="12"/>
  <c r="C579" i="12" s="1"/>
  <c r="E579" i="12" s="1"/>
  <c r="B578" i="12"/>
  <c r="B577" i="12"/>
  <c r="C577" i="12" s="1"/>
  <c r="B576" i="12"/>
  <c r="B575" i="12"/>
  <c r="C575" i="12" s="1"/>
  <c r="E575" i="12" s="1"/>
  <c r="B574" i="12"/>
  <c r="C574" i="12" s="1"/>
  <c r="B573" i="12"/>
  <c r="C573" i="12" s="1"/>
  <c r="E573" i="12" s="1"/>
  <c r="B572" i="12"/>
  <c r="B571" i="12"/>
  <c r="B570" i="12"/>
  <c r="C570" i="12" s="1"/>
  <c r="B569" i="12"/>
  <c r="C569" i="12" s="1"/>
  <c r="E569" i="12" s="1"/>
  <c r="B568" i="12"/>
  <c r="C568" i="12" s="1"/>
  <c r="B567" i="12"/>
  <c r="C567" i="12" s="1"/>
  <c r="E567" i="12" s="1"/>
  <c r="B566" i="12"/>
  <c r="B565" i="12"/>
  <c r="B564" i="12"/>
  <c r="B563" i="12"/>
  <c r="C563" i="12" s="1"/>
  <c r="B562" i="12"/>
  <c r="C562" i="12" s="1"/>
  <c r="B561" i="12"/>
  <c r="C561" i="12" s="1"/>
  <c r="E561" i="12" s="1"/>
  <c r="B560" i="12"/>
  <c r="B559" i="12"/>
  <c r="B558" i="12"/>
  <c r="C558" i="12" s="1"/>
  <c r="B557" i="12"/>
  <c r="C557" i="12" s="1"/>
  <c r="B556" i="12"/>
  <c r="C556" i="12" s="1"/>
  <c r="B555" i="12"/>
  <c r="C555" i="12" s="1"/>
  <c r="E555" i="12" s="1"/>
  <c r="B554" i="12"/>
  <c r="B553" i="12"/>
  <c r="B552" i="12"/>
  <c r="B551" i="12"/>
  <c r="C551" i="12" s="1"/>
  <c r="B550" i="12"/>
  <c r="C550" i="12" s="1"/>
  <c r="B549" i="12"/>
  <c r="C549" i="12" s="1"/>
  <c r="E549" i="12" s="1"/>
  <c r="B548" i="12"/>
  <c r="B547" i="12"/>
  <c r="B546" i="12"/>
  <c r="C546" i="12" s="1"/>
  <c r="B545" i="12"/>
  <c r="C545" i="12" s="1"/>
  <c r="B544" i="12"/>
  <c r="C544" i="12" s="1"/>
  <c r="B543" i="12"/>
  <c r="C543" i="12" s="1"/>
  <c r="E543" i="12" s="1"/>
  <c r="B542" i="12"/>
  <c r="B541" i="12"/>
  <c r="B540" i="12"/>
  <c r="B539" i="12"/>
  <c r="C539" i="12" s="1"/>
  <c r="B538" i="12"/>
  <c r="C538" i="12" s="1"/>
  <c r="B537" i="12"/>
  <c r="C537" i="12" s="1"/>
  <c r="E537" i="12" s="1"/>
  <c r="B536" i="12"/>
  <c r="C536" i="12" s="1"/>
  <c r="E536" i="12" s="1"/>
  <c r="B535" i="12"/>
  <c r="C535" i="12" s="1"/>
  <c r="E535" i="12" s="1"/>
  <c r="B534" i="12"/>
  <c r="C534" i="12" s="1"/>
  <c r="E534" i="12" s="1"/>
  <c r="B533" i="12"/>
  <c r="C533" i="12" s="1"/>
  <c r="E533" i="12" s="1"/>
  <c r="B532" i="12"/>
  <c r="C532" i="12" s="1"/>
  <c r="E532" i="12" s="1"/>
  <c r="B531" i="12"/>
  <c r="C531" i="12" s="1"/>
  <c r="E531" i="12" s="1"/>
  <c r="B530" i="12"/>
  <c r="C530" i="12" s="1"/>
  <c r="E530" i="12" s="1"/>
  <c r="B529" i="12"/>
  <c r="C529" i="12" s="1"/>
  <c r="E529" i="12" s="1"/>
  <c r="B528" i="12"/>
  <c r="C528" i="12" s="1"/>
  <c r="E528" i="12" s="1"/>
  <c r="B527" i="12"/>
  <c r="C527" i="12" s="1"/>
  <c r="E527" i="12" s="1"/>
  <c r="B526" i="12"/>
  <c r="C526" i="12" s="1"/>
  <c r="E526" i="12" s="1"/>
  <c r="B525" i="12"/>
  <c r="C525" i="12" s="1"/>
  <c r="E525" i="12" s="1"/>
  <c r="B524" i="12"/>
  <c r="C524" i="12" s="1"/>
  <c r="E524" i="12" s="1"/>
  <c r="B523" i="12"/>
  <c r="C523" i="12" s="1"/>
  <c r="E523" i="12" s="1"/>
  <c r="B522" i="12"/>
  <c r="C522" i="12" s="1"/>
  <c r="E522" i="12" s="1"/>
  <c r="B521" i="12"/>
  <c r="C521" i="12" s="1"/>
  <c r="E521" i="12" s="1"/>
  <c r="B520" i="12"/>
  <c r="C520" i="12" s="1"/>
  <c r="E520" i="12" s="1"/>
  <c r="B519" i="12"/>
  <c r="C519" i="12" s="1"/>
  <c r="E519" i="12" s="1"/>
  <c r="B518" i="12"/>
  <c r="C518" i="12" s="1"/>
  <c r="E518" i="12" s="1"/>
  <c r="B517" i="12"/>
  <c r="C517" i="12" s="1"/>
  <c r="E517" i="12" s="1"/>
  <c r="B516" i="12"/>
  <c r="C516" i="12" s="1"/>
  <c r="E516" i="12" s="1"/>
  <c r="B515" i="12"/>
  <c r="C515" i="12" s="1"/>
  <c r="E515" i="12" s="1"/>
  <c r="B514" i="12"/>
  <c r="C514" i="12" s="1"/>
  <c r="E514" i="12" s="1"/>
  <c r="B513" i="12"/>
  <c r="C513" i="12" s="1"/>
  <c r="E513" i="12" s="1"/>
  <c r="B512" i="12"/>
  <c r="C512" i="12" s="1"/>
  <c r="E512" i="12" s="1"/>
  <c r="B511" i="12"/>
  <c r="C511" i="12" s="1"/>
  <c r="E511" i="12" s="1"/>
  <c r="B510" i="12"/>
  <c r="C510" i="12" s="1"/>
  <c r="E510" i="12" s="1"/>
  <c r="B509" i="12"/>
  <c r="C509" i="12" s="1"/>
  <c r="E509" i="12" s="1"/>
  <c r="B508" i="12"/>
  <c r="C508" i="12" s="1"/>
  <c r="E508" i="12" s="1"/>
  <c r="B507" i="12"/>
  <c r="C507" i="12" s="1"/>
  <c r="E507" i="12" s="1"/>
  <c r="B506" i="12"/>
  <c r="C506" i="12" s="1"/>
  <c r="E506" i="12" s="1"/>
  <c r="B505" i="12"/>
  <c r="C505" i="12" s="1"/>
  <c r="E505" i="12" s="1"/>
  <c r="B504" i="12"/>
  <c r="C504" i="12" s="1"/>
  <c r="E504" i="12" s="1"/>
  <c r="B503" i="12"/>
  <c r="C503" i="12" s="1"/>
  <c r="E503" i="12" s="1"/>
  <c r="B502" i="12"/>
  <c r="C502" i="12" s="1"/>
  <c r="E502" i="12" s="1"/>
  <c r="B501" i="12"/>
  <c r="C501" i="12" s="1"/>
  <c r="E501" i="12" s="1"/>
  <c r="B500" i="12"/>
  <c r="C500" i="12" s="1"/>
  <c r="E500" i="12" s="1"/>
  <c r="B499" i="12"/>
  <c r="C499" i="12" s="1"/>
  <c r="E499" i="12" s="1"/>
  <c r="B498" i="12"/>
  <c r="C498" i="12" s="1"/>
  <c r="E498" i="12" s="1"/>
  <c r="B497" i="12"/>
  <c r="C497" i="12" s="1"/>
  <c r="E497" i="12" s="1"/>
  <c r="B496" i="12"/>
  <c r="C496" i="12" s="1"/>
  <c r="E496" i="12" s="1"/>
  <c r="B495" i="12"/>
  <c r="C495" i="12" s="1"/>
  <c r="E495" i="12" s="1"/>
  <c r="B494" i="12"/>
  <c r="C494" i="12" s="1"/>
  <c r="E494" i="12" s="1"/>
  <c r="B493" i="12"/>
  <c r="C493" i="12" s="1"/>
  <c r="E493" i="12" s="1"/>
  <c r="B492" i="12"/>
  <c r="C492" i="12" s="1"/>
  <c r="E492" i="12" s="1"/>
  <c r="B491" i="12"/>
  <c r="C491" i="12" s="1"/>
  <c r="E491" i="12" s="1"/>
  <c r="B490" i="12"/>
  <c r="C490" i="12" s="1"/>
  <c r="E490" i="12" s="1"/>
  <c r="B489" i="12"/>
  <c r="C489" i="12" s="1"/>
  <c r="E489" i="12" s="1"/>
  <c r="B488" i="12"/>
  <c r="C488" i="12" s="1"/>
  <c r="E488" i="12" s="1"/>
  <c r="B487" i="12"/>
  <c r="C487" i="12" s="1"/>
  <c r="E487" i="12" s="1"/>
  <c r="B486" i="12"/>
  <c r="C486" i="12" s="1"/>
  <c r="E486" i="12" s="1"/>
  <c r="B485" i="12"/>
  <c r="C485" i="12" s="1"/>
  <c r="E485" i="12" s="1"/>
  <c r="B484" i="12"/>
  <c r="C484" i="12" s="1"/>
  <c r="E484" i="12" s="1"/>
  <c r="B483" i="12"/>
  <c r="C483" i="12" s="1"/>
  <c r="E483" i="12" s="1"/>
  <c r="B482" i="12"/>
  <c r="C482" i="12" s="1"/>
  <c r="E482" i="12" s="1"/>
  <c r="B481" i="12"/>
  <c r="C481" i="12" s="1"/>
  <c r="E481" i="12" s="1"/>
  <c r="B480" i="12"/>
  <c r="C480" i="12" s="1"/>
  <c r="E480" i="12" s="1"/>
  <c r="B479" i="12"/>
  <c r="C479" i="12" s="1"/>
  <c r="E479" i="12" s="1"/>
  <c r="B478" i="12"/>
  <c r="B477" i="12"/>
  <c r="C477" i="12" s="1"/>
  <c r="E477" i="12" s="1"/>
  <c r="B476" i="12"/>
  <c r="C476" i="12" s="1"/>
  <c r="B475" i="12"/>
  <c r="C475" i="12" s="1"/>
  <c r="E475" i="12" s="1"/>
  <c r="B474" i="12"/>
  <c r="C474" i="12" s="1"/>
  <c r="B473" i="12"/>
  <c r="C473" i="12" s="1"/>
  <c r="E473" i="12" s="1"/>
  <c r="B472" i="12"/>
  <c r="B471" i="12"/>
  <c r="C471" i="12" s="1"/>
  <c r="E471" i="12" s="1"/>
  <c r="B470" i="12"/>
  <c r="C470" i="12" s="1"/>
  <c r="B469" i="12"/>
  <c r="C469" i="12" s="1"/>
  <c r="E469" i="12" s="1"/>
  <c r="B468" i="12"/>
  <c r="C468" i="12" s="1"/>
  <c r="B467" i="12"/>
  <c r="C467" i="12" s="1"/>
  <c r="E467" i="12" s="1"/>
  <c r="B466" i="12"/>
  <c r="B465" i="12"/>
  <c r="C465" i="12" s="1"/>
  <c r="E465" i="12" s="1"/>
  <c r="B464" i="12"/>
  <c r="C464" i="12" s="1"/>
  <c r="B463" i="12"/>
  <c r="C463" i="12" s="1"/>
  <c r="E463" i="12" s="1"/>
  <c r="B462" i="12"/>
  <c r="C462" i="12" s="1"/>
  <c r="B461" i="12"/>
  <c r="C461" i="12" s="1"/>
  <c r="E461" i="12" s="1"/>
  <c r="B460" i="12"/>
  <c r="B459" i="12"/>
  <c r="C459" i="12" s="1"/>
  <c r="E459" i="12" s="1"/>
  <c r="B458" i="12"/>
  <c r="C458" i="12" s="1"/>
  <c r="B457" i="12"/>
  <c r="C457" i="12" s="1"/>
  <c r="E457" i="12" s="1"/>
  <c r="B456" i="12"/>
  <c r="C456" i="12" s="1"/>
  <c r="B455" i="12"/>
  <c r="C455" i="12" s="1"/>
  <c r="E455" i="12" s="1"/>
  <c r="B454" i="12"/>
  <c r="B453" i="12"/>
  <c r="C453" i="12" s="1"/>
  <c r="E453" i="12" s="1"/>
  <c r="B452" i="12"/>
  <c r="C452" i="12" s="1"/>
  <c r="B451" i="12"/>
  <c r="B450" i="12"/>
  <c r="C450" i="12" s="1"/>
  <c r="B449" i="12"/>
  <c r="C449" i="12" s="1"/>
  <c r="B448" i="12"/>
  <c r="B447" i="12"/>
  <c r="C447" i="12" s="1"/>
  <c r="B446" i="12"/>
  <c r="C446" i="12" s="1"/>
  <c r="B445" i="12"/>
  <c r="B444" i="12"/>
  <c r="C444" i="12" s="1"/>
  <c r="B443" i="12"/>
  <c r="C443" i="12" s="1"/>
  <c r="B442" i="12"/>
  <c r="B441" i="12"/>
  <c r="C441" i="12" s="1"/>
  <c r="B440" i="12"/>
  <c r="C440" i="12" s="1"/>
  <c r="B439" i="12"/>
  <c r="B438" i="12"/>
  <c r="C438" i="12" s="1"/>
  <c r="B437" i="12"/>
  <c r="C437" i="12" s="1"/>
  <c r="B436" i="12"/>
  <c r="B435" i="12"/>
  <c r="C435" i="12" s="1"/>
  <c r="B434" i="12"/>
  <c r="C434" i="12" s="1"/>
  <c r="B433" i="12"/>
  <c r="B432" i="12"/>
  <c r="C432" i="12" s="1"/>
  <c r="B431" i="12"/>
  <c r="C431" i="12" s="1"/>
  <c r="B430" i="12"/>
  <c r="B429" i="12"/>
  <c r="C429" i="12" s="1"/>
  <c r="B428" i="12"/>
  <c r="C428" i="12" s="1"/>
  <c r="B427" i="12"/>
  <c r="B426" i="12"/>
  <c r="C426" i="12" s="1"/>
  <c r="B425" i="12"/>
  <c r="C425" i="12" s="1"/>
  <c r="B424" i="12"/>
  <c r="B423" i="12"/>
  <c r="C423" i="12" s="1"/>
  <c r="B422" i="12"/>
  <c r="C422" i="12" s="1"/>
  <c r="B421" i="12"/>
  <c r="B420" i="12"/>
  <c r="C420" i="12" s="1"/>
  <c r="B419" i="12"/>
  <c r="C419" i="12" s="1"/>
  <c r="B418" i="12"/>
  <c r="B417" i="12"/>
  <c r="C417" i="12" s="1"/>
  <c r="B416" i="12"/>
  <c r="C416" i="12" s="1"/>
  <c r="B415" i="12"/>
  <c r="B414" i="12"/>
  <c r="C414" i="12" s="1"/>
  <c r="B413" i="12"/>
  <c r="C413" i="12" s="1"/>
  <c r="B412" i="12"/>
  <c r="B411" i="12"/>
  <c r="C411" i="12" s="1"/>
  <c r="B410" i="12"/>
  <c r="C410" i="12" s="1"/>
  <c r="B409" i="12"/>
  <c r="B408" i="12"/>
  <c r="C408" i="12" s="1"/>
  <c r="B407" i="12"/>
  <c r="C407" i="12" s="1"/>
  <c r="B406" i="12"/>
  <c r="B405" i="12"/>
  <c r="C405" i="12" s="1"/>
  <c r="B404" i="12"/>
  <c r="C404" i="12" s="1"/>
  <c r="B403" i="12"/>
  <c r="B402" i="12"/>
  <c r="C402" i="12" s="1"/>
  <c r="B401" i="12"/>
  <c r="C401" i="12" s="1"/>
  <c r="B400" i="12"/>
  <c r="B399" i="12"/>
  <c r="C399" i="12" s="1"/>
  <c r="B398" i="12"/>
  <c r="C398" i="12" s="1"/>
  <c r="B397" i="12"/>
  <c r="B396" i="12"/>
  <c r="C396" i="12" s="1"/>
  <c r="B395" i="12"/>
  <c r="C395" i="12" s="1"/>
  <c r="B394" i="12"/>
  <c r="B393" i="12"/>
  <c r="B392" i="12"/>
  <c r="C392" i="12" s="1"/>
  <c r="B391" i="12"/>
  <c r="C391" i="12" s="1"/>
  <c r="E391" i="12" s="1"/>
  <c r="B390" i="12"/>
  <c r="C390" i="12" s="1"/>
  <c r="B389" i="12"/>
  <c r="B388" i="12"/>
  <c r="B387" i="12"/>
  <c r="C387" i="12" s="1"/>
  <c r="E387" i="12" s="1"/>
  <c r="B386" i="12"/>
  <c r="C386" i="12" s="1"/>
  <c r="B385" i="12"/>
  <c r="C385" i="12" s="1"/>
  <c r="E385" i="12" s="1"/>
  <c r="B384" i="12"/>
  <c r="B383" i="12"/>
  <c r="C383" i="12" s="1"/>
  <c r="B382" i="12"/>
  <c r="B381" i="12"/>
  <c r="B380" i="12"/>
  <c r="C380" i="12" s="1"/>
  <c r="B379" i="12"/>
  <c r="C379" i="12" s="1"/>
  <c r="E379" i="12" s="1"/>
  <c r="B378" i="12"/>
  <c r="C378" i="12" s="1"/>
  <c r="B377" i="12"/>
  <c r="B376" i="12"/>
  <c r="B375" i="12"/>
  <c r="C375" i="12" s="1"/>
  <c r="E375" i="12" s="1"/>
  <c r="B374" i="12"/>
  <c r="C374" i="12" s="1"/>
  <c r="B373" i="12"/>
  <c r="C373" i="12" s="1"/>
  <c r="B372" i="12"/>
  <c r="B371" i="12"/>
  <c r="B370" i="12"/>
  <c r="B369" i="12"/>
  <c r="B368" i="12"/>
  <c r="C368" i="12" s="1"/>
  <c r="B367" i="12"/>
  <c r="C367" i="12" s="1"/>
  <c r="E367" i="12" s="1"/>
  <c r="B366" i="12"/>
  <c r="C366" i="12" s="1"/>
  <c r="B365" i="12"/>
  <c r="B364" i="12"/>
  <c r="B363" i="12"/>
  <c r="C363" i="12" s="1"/>
  <c r="E363" i="12" s="1"/>
  <c r="B362" i="12"/>
  <c r="C362" i="12" s="1"/>
  <c r="B361" i="12"/>
  <c r="B360" i="12"/>
  <c r="B359" i="12"/>
  <c r="C359" i="12" s="1"/>
  <c r="B358" i="12"/>
  <c r="B357" i="12"/>
  <c r="B356" i="12"/>
  <c r="C356" i="12" s="1"/>
  <c r="B355" i="12"/>
  <c r="C355" i="12" s="1"/>
  <c r="E355" i="12" s="1"/>
  <c r="B354" i="12"/>
  <c r="C354" i="12" s="1"/>
  <c r="B353" i="12"/>
  <c r="B352" i="12"/>
  <c r="B351" i="12"/>
  <c r="C351" i="12" s="1"/>
  <c r="B350" i="12"/>
  <c r="C350" i="12" s="1"/>
  <c r="B349" i="12"/>
  <c r="B348" i="12"/>
  <c r="B347" i="12"/>
  <c r="B346" i="12"/>
  <c r="B345" i="12"/>
  <c r="B344" i="12"/>
  <c r="C344" i="12" s="1"/>
  <c r="B343" i="12"/>
  <c r="C343" i="12" s="1"/>
  <c r="E343" i="12" s="1"/>
  <c r="B342" i="12"/>
  <c r="C342" i="12" s="1"/>
  <c r="B341" i="12"/>
  <c r="B340" i="12"/>
  <c r="B339" i="12"/>
  <c r="C339" i="12" s="1"/>
  <c r="E339" i="12" s="1"/>
  <c r="B338" i="12"/>
  <c r="C338" i="12" s="1"/>
  <c r="B337" i="12"/>
  <c r="C337" i="12" s="1"/>
  <c r="E337" i="12" s="1"/>
  <c r="B336" i="12"/>
  <c r="B335" i="12"/>
  <c r="C335" i="12" s="1"/>
  <c r="B334" i="12"/>
  <c r="B333" i="12"/>
  <c r="B332" i="12"/>
  <c r="C332" i="12" s="1"/>
  <c r="B331" i="12"/>
  <c r="C331" i="12" s="1"/>
  <c r="E331" i="12" s="1"/>
  <c r="B330" i="12"/>
  <c r="C330" i="12" s="1"/>
  <c r="B329" i="12"/>
  <c r="B328" i="12"/>
  <c r="B327" i="12"/>
  <c r="C327" i="12" s="1"/>
  <c r="B326" i="12"/>
  <c r="C326" i="12" s="1"/>
  <c r="B325" i="12"/>
  <c r="C325" i="12" s="1"/>
  <c r="E325" i="12" s="1"/>
  <c r="B324" i="12"/>
  <c r="B323" i="12"/>
  <c r="C323" i="12" s="1"/>
  <c r="B322" i="12"/>
  <c r="B321" i="12"/>
  <c r="B320" i="12"/>
  <c r="C320" i="12" s="1"/>
  <c r="B319" i="12"/>
  <c r="C319" i="12" s="1"/>
  <c r="E319" i="12" s="1"/>
  <c r="B318" i="12"/>
  <c r="C318" i="12" s="1"/>
  <c r="B317" i="12"/>
  <c r="B316" i="12"/>
  <c r="B315" i="12"/>
  <c r="C315" i="12" s="1"/>
  <c r="B314" i="12"/>
  <c r="C314" i="12" s="1"/>
  <c r="B313" i="12"/>
  <c r="C313" i="12" s="1"/>
  <c r="B312" i="12"/>
  <c r="C312" i="12" s="1"/>
  <c r="E312" i="12" s="1"/>
  <c r="B311" i="12"/>
  <c r="C311" i="12" s="1"/>
  <c r="E311" i="12" s="1"/>
  <c r="B310" i="12"/>
  <c r="C310" i="12" s="1"/>
  <c r="E310" i="12" s="1"/>
  <c r="B309" i="12"/>
  <c r="C309" i="12" s="1"/>
  <c r="E309" i="12" s="1"/>
  <c r="B308" i="12"/>
  <c r="C308" i="12" s="1"/>
  <c r="E308" i="12" s="1"/>
  <c r="B307" i="12"/>
  <c r="B306" i="12"/>
  <c r="C306" i="12" s="1"/>
  <c r="E306" i="12" s="1"/>
  <c r="B305" i="12"/>
  <c r="C305" i="12" s="1"/>
  <c r="B304" i="12"/>
  <c r="C304" i="12" s="1"/>
  <c r="E304" i="12" s="1"/>
  <c r="B303" i="12"/>
  <c r="C303" i="12" s="1"/>
  <c r="B302" i="12"/>
  <c r="C302" i="12" s="1"/>
  <c r="E302" i="12" s="1"/>
  <c r="B301" i="12"/>
  <c r="C301" i="12" s="1"/>
  <c r="B300" i="12"/>
  <c r="C300" i="12" s="1"/>
  <c r="E300" i="12" s="1"/>
  <c r="B299" i="12"/>
  <c r="C299" i="12" s="1"/>
  <c r="E299" i="12" s="1"/>
  <c r="B298" i="12"/>
  <c r="C298" i="12" s="1"/>
  <c r="E298" i="12" s="1"/>
  <c r="B297" i="12"/>
  <c r="C297" i="12" s="1"/>
  <c r="E297" i="12" s="1"/>
  <c r="B296" i="12"/>
  <c r="C296" i="12" s="1"/>
  <c r="E296" i="12" s="1"/>
  <c r="B295" i="12"/>
  <c r="C295" i="12" s="1"/>
  <c r="B294" i="12"/>
  <c r="C294" i="12" s="1"/>
  <c r="E294" i="12" s="1"/>
  <c r="B293" i="12"/>
  <c r="C293" i="12" s="1"/>
  <c r="B292" i="12"/>
  <c r="C292" i="12" s="1"/>
  <c r="E292" i="12" s="1"/>
  <c r="B291" i="12"/>
  <c r="C291" i="12" s="1"/>
  <c r="B290" i="12"/>
  <c r="C290" i="12" s="1"/>
  <c r="E290" i="12" s="1"/>
  <c r="B289" i="12"/>
  <c r="C289" i="12" s="1"/>
  <c r="B288" i="12"/>
  <c r="C288" i="12" s="1"/>
  <c r="E288" i="12" s="1"/>
  <c r="B287" i="12"/>
  <c r="C287" i="12" s="1"/>
  <c r="E287" i="12" s="1"/>
  <c r="B286" i="12"/>
  <c r="C286" i="12" s="1"/>
  <c r="E286" i="12" s="1"/>
  <c r="B285" i="12"/>
  <c r="B284" i="12"/>
  <c r="C284" i="12" s="1"/>
  <c r="E284" i="12" s="1"/>
  <c r="B283" i="12"/>
  <c r="B282" i="12"/>
  <c r="C282" i="12" s="1"/>
  <c r="E282" i="12" s="1"/>
  <c r="B281" i="12"/>
  <c r="C281" i="12" s="1"/>
  <c r="B280" i="12"/>
  <c r="C280" i="12" s="1"/>
  <c r="E280" i="12" s="1"/>
  <c r="B279" i="12"/>
  <c r="B278" i="12"/>
  <c r="C278" i="12" s="1"/>
  <c r="E278" i="12" s="1"/>
  <c r="B277" i="12"/>
  <c r="C277" i="12" s="1"/>
  <c r="B276" i="12"/>
  <c r="C276" i="12" s="1"/>
  <c r="E276" i="12" s="1"/>
  <c r="B275" i="12"/>
  <c r="C275" i="12" s="1"/>
  <c r="E275" i="12" s="1"/>
  <c r="B274" i="12"/>
  <c r="C274" i="12" s="1"/>
  <c r="E274" i="12" s="1"/>
  <c r="B273" i="12"/>
  <c r="C273" i="12" s="1"/>
  <c r="E273" i="12" s="1"/>
  <c r="B272" i="12"/>
  <c r="C272" i="12" s="1"/>
  <c r="E272" i="12" s="1"/>
  <c r="B271" i="12"/>
  <c r="B270" i="12"/>
  <c r="C270" i="12" s="1"/>
  <c r="E270" i="12" s="1"/>
  <c r="B269" i="12"/>
  <c r="C269" i="12" s="1"/>
  <c r="B268" i="12"/>
  <c r="C268" i="12" s="1"/>
  <c r="E268" i="12" s="1"/>
  <c r="B267" i="12"/>
  <c r="C267" i="12" s="1"/>
  <c r="B266" i="12"/>
  <c r="C266" i="12" s="1"/>
  <c r="E266" i="12" s="1"/>
  <c r="B265" i="12"/>
  <c r="C265" i="12" s="1"/>
  <c r="B264" i="12"/>
  <c r="C264" i="12" s="1"/>
  <c r="E264" i="12" s="1"/>
  <c r="B263" i="12"/>
  <c r="C263" i="12" s="1"/>
  <c r="E263" i="12" s="1"/>
  <c r="B262" i="12"/>
  <c r="C262" i="12" s="1"/>
  <c r="E262" i="12" s="1"/>
  <c r="B261" i="12"/>
  <c r="B260" i="12"/>
  <c r="C260" i="12" s="1"/>
  <c r="E260" i="12" s="1"/>
  <c r="B259" i="12"/>
  <c r="C259" i="12" s="1"/>
  <c r="B258" i="12"/>
  <c r="C258" i="12" s="1"/>
  <c r="E258" i="12" s="1"/>
  <c r="B257" i="12"/>
  <c r="C257" i="12" s="1"/>
  <c r="B256" i="12"/>
  <c r="C256" i="12" s="1"/>
  <c r="E256" i="12" s="1"/>
  <c r="B255" i="12"/>
  <c r="B254" i="12"/>
  <c r="C254" i="12" s="1"/>
  <c r="E254" i="12" s="1"/>
  <c r="B253" i="12"/>
  <c r="C253" i="12" s="1"/>
  <c r="B252" i="12"/>
  <c r="C252" i="12" s="1"/>
  <c r="E252" i="12" s="1"/>
  <c r="B251" i="12"/>
  <c r="C251" i="12" s="1"/>
  <c r="E251" i="12" s="1"/>
  <c r="B250" i="12"/>
  <c r="C250" i="12" s="1"/>
  <c r="E250" i="12" s="1"/>
  <c r="B249" i="12"/>
  <c r="B248" i="12"/>
  <c r="C248" i="12" s="1"/>
  <c r="E248" i="12" s="1"/>
  <c r="B247" i="12"/>
  <c r="C247" i="12" s="1"/>
  <c r="E247" i="12" s="1"/>
  <c r="B246" i="12"/>
  <c r="C246" i="12" s="1"/>
  <c r="E246" i="12" s="1"/>
  <c r="B245" i="12"/>
  <c r="B244" i="12"/>
  <c r="C244" i="12" s="1"/>
  <c r="E244" i="12" s="1"/>
  <c r="B243" i="12"/>
  <c r="C243" i="12" s="1"/>
  <c r="B242" i="12"/>
  <c r="C242" i="12" s="1"/>
  <c r="E242" i="12" s="1"/>
  <c r="B241" i="12"/>
  <c r="C241" i="12" s="1"/>
  <c r="B240" i="12"/>
  <c r="C240" i="12" s="1"/>
  <c r="E240" i="12" s="1"/>
  <c r="B239" i="12"/>
  <c r="C239" i="12" s="1"/>
  <c r="E239" i="12" s="1"/>
  <c r="B238" i="12"/>
  <c r="C238" i="12" s="1"/>
  <c r="E238" i="12" s="1"/>
  <c r="B237" i="12"/>
  <c r="B236" i="12"/>
  <c r="C236" i="12" s="1"/>
  <c r="E236" i="12" s="1"/>
  <c r="B235" i="12"/>
  <c r="C235" i="12" s="1"/>
  <c r="E235" i="12" s="1"/>
  <c r="B234" i="12"/>
  <c r="C234" i="12" s="1"/>
  <c r="E234" i="12" s="1"/>
  <c r="B233" i="12"/>
  <c r="C233" i="12" s="1"/>
  <c r="E233" i="12" s="1"/>
  <c r="B232" i="12"/>
  <c r="C232" i="12" s="1"/>
  <c r="E232" i="12" s="1"/>
  <c r="B231" i="12"/>
  <c r="B230" i="12"/>
  <c r="C230" i="12" s="1"/>
  <c r="E230" i="12" s="1"/>
  <c r="B229" i="12"/>
  <c r="C229" i="12" s="1"/>
  <c r="B228" i="12"/>
  <c r="C228" i="12" s="1"/>
  <c r="E228" i="12" s="1"/>
  <c r="B227" i="12"/>
  <c r="C227" i="12" s="1"/>
  <c r="B226" i="12"/>
  <c r="B225" i="12"/>
  <c r="C225" i="12" s="1"/>
  <c r="B224" i="12"/>
  <c r="C224" i="12" s="1"/>
  <c r="E224" i="12" s="1"/>
  <c r="B223" i="12"/>
  <c r="C223" i="12" s="1"/>
  <c r="B222" i="12"/>
  <c r="C222" i="12" s="1"/>
  <c r="E222" i="12" s="1"/>
  <c r="B221" i="12"/>
  <c r="C221" i="12" s="1"/>
  <c r="B220" i="12"/>
  <c r="B219" i="12"/>
  <c r="C219" i="12" s="1"/>
  <c r="B218" i="12"/>
  <c r="C218" i="12" s="1"/>
  <c r="E218" i="12" s="1"/>
  <c r="B217" i="12"/>
  <c r="C217" i="12" s="1"/>
  <c r="B216" i="12"/>
  <c r="C216" i="12" s="1"/>
  <c r="E216" i="12" s="1"/>
  <c r="B215" i="12"/>
  <c r="C215" i="12" s="1"/>
  <c r="B214" i="12"/>
  <c r="B213" i="12"/>
  <c r="C213" i="12" s="1"/>
  <c r="B212" i="12"/>
  <c r="C212" i="12" s="1"/>
  <c r="E212" i="12" s="1"/>
  <c r="B211" i="12"/>
  <c r="C211" i="12" s="1"/>
  <c r="B210" i="12"/>
  <c r="C210" i="12" s="1"/>
  <c r="E210" i="12" s="1"/>
  <c r="B209" i="12"/>
  <c r="C209" i="12" s="1"/>
  <c r="B208" i="12"/>
  <c r="B207" i="12"/>
  <c r="C207" i="12" s="1"/>
  <c r="B206" i="12"/>
  <c r="C206" i="12" s="1"/>
  <c r="E206" i="12" s="1"/>
  <c r="B205" i="12"/>
  <c r="C205" i="12" s="1"/>
  <c r="B204" i="12"/>
  <c r="C204" i="12" s="1"/>
  <c r="E204" i="12" s="1"/>
  <c r="B203" i="12"/>
  <c r="C203" i="12" s="1"/>
  <c r="B202" i="12"/>
  <c r="B201" i="12"/>
  <c r="C201" i="12" s="1"/>
  <c r="B200" i="12"/>
  <c r="C200" i="12" s="1"/>
  <c r="E200" i="12" s="1"/>
  <c r="B199" i="12"/>
  <c r="C199" i="12" s="1"/>
  <c r="B198" i="12"/>
  <c r="C198" i="12" s="1"/>
  <c r="E198" i="12" s="1"/>
  <c r="B197" i="12"/>
  <c r="C197" i="12" s="1"/>
  <c r="B196" i="12"/>
  <c r="B195" i="12"/>
  <c r="C195" i="12" s="1"/>
  <c r="B194" i="12"/>
  <c r="C194" i="12" s="1"/>
  <c r="E194" i="12" s="1"/>
  <c r="B193" i="12"/>
  <c r="C193" i="12" s="1"/>
  <c r="B192" i="12"/>
  <c r="C192" i="12" s="1"/>
  <c r="E192" i="12" s="1"/>
  <c r="B191" i="12"/>
  <c r="C191" i="12" s="1"/>
  <c r="B190" i="12"/>
  <c r="B189" i="12"/>
  <c r="C189" i="12" s="1"/>
  <c r="B188" i="12"/>
  <c r="C188" i="12" s="1"/>
  <c r="E188" i="12" s="1"/>
  <c r="B187" i="12"/>
  <c r="C187" i="12" s="1"/>
  <c r="B186" i="12"/>
  <c r="C186" i="12" s="1"/>
  <c r="E186" i="12" s="1"/>
  <c r="B185" i="12"/>
  <c r="C185" i="12" s="1"/>
  <c r="B184" i="12"/>
  <c r="B183" i="12"/>
  <c r="C183" i="12" s="1"/>
  <c r="B182" i="12"/>
  <c r="C182" i="12" s="1"/>
  <c r="E182" i="12" s="1"/>
  <c r="B181" i="12"/>
  <c r="C181" i="12" s="1"/>
  <c r="B180" i="12"/>
  <c r="C180" i="12" s="1"/>
  <c r="E180" i="12" s="1"/>
  <c r="B179" i="12"/>
  <c r="C179" i="12" s="1"/>
  <c r="B178" i="12"/>
  <c r="B177" i="12"/>
  <c r="C177" i="12" s="1"/>
  <c r="B176" i="12"/>
  <c r="C176" i="12" s="1"/>
  <c r="E176" i="12" s="1"/>
  <c r="B175" i="12"/>
  <c r="C175" i="12" s="1"/>
  <c r="B174" i="12"/>
  <c r="C174" i="12" s="1"/>
  <c r="E174" i="12" s="1"/>
  <c r="B173" i="12"/>
  <c r="C173" i="12" s="1"/>
  <c r="B172" i="12"/>
  <c r="B171" i="12"/>
  <c r="C171" i="12" s="1"/>
  <c r="B170" i="12"/>
  <c r="C170" i="12" s="1"/>
  <c r="E170" i="12" s="1"/>
  <c r="B169" i="12"/>
  <c r="C169" i="12" s="1"/>
  <c r="B168" i="12"/>
  <c r="C168" i="12" s="1"/>
  <c r="E168" i="12" s="1"/>
  <c r="B167" i="12"/>
  <c r="C167" i="12" s="1"/>
  <c r="B166" i="12"/>
  <c r="B165" i="12"/>
  <c r="C165" i="12" s="1"/>
  <c r="B164" i="12"/>
  <c r="C164" i="12" s="1"/>
  <c r="E164" i="12" s="1"/>
  <c r="B163" i="12"/>
  <c r="C163" i="12" s="1"/>
  <c r="B162" i="12"/>
  <c r="C162" i="12" s="1"/>
  <c r="E162" i="12" s="1"/>
  <c r="B161" i="12"/>
  <c r="C161" i="12" s="1"/>
  <c r="B160" i="12"/>
  <c r="B159" i="12"/>
  <c r="C159" i="12" s="1"/>
  <c r="B158" i="12"/>
  <c r="C158" i="12" s="1"/>
  <c r="E158" i="12" s="1"/>
  <c r="B157" i="12"/>
  <c r="C157" i="12" s="1"/>
  <c r="B156" i="12"/>
  <c r="C156" i="12" s="1"/>
  <c r="E156" i="12" s="1"/>
  <c r="B155" i="12"/>
  <c r="C155" i="12" s="1"/>
  <c r="B154" i="12"/>
  <c r="B153" i="12"/>
  <c r="C153" i="12" s="1"/>
  <c r="B152" i="12"/>
  <c r="C152" i="12" s="1"/>
  <c r="E152" i="12" s="1"/>
  <c r="B151" i="12"/>
  <c r="C151" i="12" s="1"/>
  <c r="B150" i="12"/>
  <c r="C150" i="12" s="1"/>
  <c r="E150" i="12" s="1"/>
  <c r="B149" i="12"/>
  <c r="C149" i="12" s="1"/>
  <c r="B148" i="12"/>
  <c r="B147" i="12"/>
  <c r="C147" i="12" s="1"/>
  <c r="B146" i="12"/>
  <c r="C146" i="12" s="1"/>
  <c r="E146" i="12" s="1"/>
  <c r="B145" i="12"/>
  <c r="C145" i="12" s="1"/>
  <c r="B144" i="12"/>
  <c r="C144" i="12" s="1"/>
  <c r="E144" i="12" s="1"/>
  <c r="B143" i="12"/>
  <c r="C143" i="12" s="1"/>
  <c r="B142" i="12"/>
  <c r="B141" i="12"/>
  <c r="C141" i="12" s="1"/>
  <c r="B140" i="12"/>
  <c r="C140" i="12" s="1"/>
  <c r="E140" i="12" s="1"/>
  <c r="B139" i="12"/>
  <c r="C139" i="12" s="1"/>
  <c r="B138" i="12"/>
  <c r="C138" i="12" s="1"/>
  <c r="E138" i="12" s="1"/>
  <c r="B137" i="12"/>
  <c r="C137" i="12" s="1"/>
  <c r="B136" i="12"/>
  <c r="B135" i="12"/>
  <c r="C135" i="12" s="1"/>
  <c r="B134" i="12"/>
  <c r="C134" i="12" s="1"/>
  <c r="E134" i="12" s="1"/>
  <c r="B133" i="12"/>
  <c r="C133" i="12" s="1"/>
  <c r="B132" i="12"/>
  <c r="C132" i="12" s="1"/>
  <c r="E132" i="12" s="1"/>
  <c r="B131" i="12"/>
  <c r="C131" i="12" s="1"/>
  <c r="B130" i="12"/>
  <c r="B129" i="12"/>
  <c r="C129" i="12" s="1"/>
  <c r="B128" i="12"/>
  <c r="C128" i="12" s="1"/>
  <c r="E128" i="12" s="1"/>
  <c r="B127" i="12"/>
  <c r="C127" i="12" s="1"/>
  <c r="B126" i="12"/>
  <c r="C126" i="12" s="1"/>
  <c r="E126" i="12" s="1"/>
  <c r="B125" i="12"/>
  <c r="C125" i="12" s="1"/>
  <c r="B124" i="12"/>
  <c r="B123" i="12"/>
  <c r="C123" i="12" s="1"/>
  <c r="B122" i="12"/>
  <c r="C122" i="12" s="1"/>
  <c r="E122" i="12" s="1"/>
  <c r="B121" i="12"/>
  <c r="C121" i="12" s="1"/>
  <c r="B120" i="12"/>
  <c r="C120" i="12" s="1"/>
  <c r="E120" i="12" s="1"/>
  <c r="B119" i="12"/>
  <c r="C119" i="12" s="1"/>
  <c r="B118" i="12"/>
  <c r="B117" i="12"/>
  <c r="C117" i="12" s="1"/>
  <c r="B116" i="12"/>
  <c r="C116" i="12" s="1"/>
  <c r="E116" i="12" s="1"/>
  <c r="B115" i="12"/>
  <c r="C115" i="12" s="1"/>
  <c r="B114" i="12"/>
  <c r="C114" i="12" s="1"/>
  <c r="E114" i="12" s="1"/>
  <c r="B113" i="12"/>
  <c r="C113" i="12" s="1"/>
  <c r="B112" i="12"/>
  <c r="B111" i="12"/>
  <c r="C111" i="12" s="1"/>
  <c r="B110" i="12"/>
  <c r="C110" i="12" s="1"/>
  <c r="E110" i="12" s="1"/>
  <c r="B109" i="12"/>
  <c r="C109" i="12" s="1"/>
  <c r="B108" i="12"/>
  <c r="C108" i="12" s="1"/>
  <c r="E108" i="12" s="1"/>
  <c r="B107" i="12"/>
  <c r="C107" i="12" s="1"/>
  <c r="B106" i="12"/>
  <c r="B105" i="12"/>
  <c r="C105" i="12" s="1"/>
  <c r="B104" i="12"/>
  <c r="C104" i="12" s="1"/>
  <c r="E104" i="12" s="1"/>
  <c r="B103" i="12"/>
  <c r="C103" i="12" s="1"/>
  <c r="B102" i="12"/>
  <c r="C102" i="12" s="1"/>
  <c r="E102" i="12" s="1"/>
  <c r="B101" i="12"/>
  <c r="C101" i="12" s="1"/>
  <c r="B100" i="12"/>
  <c r="B99" i="12"/>
  <c r="C99" i="12" s="1"/>
  <c r="B98" i="12"/>
  <c r="C98" i="12" s="1"/>
  <c r="E98" i="12" s="1"/>
  <c r="B97" i="12"/>
  <c r="C97" i="12" s="1"/>
  <c r="B96" i="12"/>
  <c r="C96" i="12" s="1"/>
  <c r="E96" i="12" s="1"/>
  <c r="B95" i="12"/>
  <c r="B94" i="12"/>
  <c r="C94" i="12" s="1"/>
  <c r="E94" i="12" s="1"/>
  <c r="B93" i="12"/>
  <c r="B92" i="12"/>
  <c r="C92" i="12" s="1"/>
  <c r="E92" i="12" s="1"/>
  <c r="B91" i="12"/>
  <c r="B90" i="12"/>
  <c r="C90" i="12" s="1"/>
  <c r="E90" i="12" s="1"/>
  <c r="B89" i="12"/>
  <c r="B88" i="12"/>
  <c r="C88" i="12" s="1"/>
  <c r="E88" i="12" s="1"/>
  <c r="B87" i="12"/>
  <c r="B86" i="12"/>
  <c r="C86" i="12" s="1"/>
  <c r="E86" i="12" s="1"/>
  <c r="B85" i="12"/>
  <c r="B84" i="12"/>
  <c r="C84" i="12" s="1"/>
  <c r="E84" i="12" s="1"/>
  <c r="B83" i="12"/>
  <c r="B82" i="12"/>
  <c r="C82" i="12" s="1"/>
  <c r="E82" i="12" s="1"/>
  <c r="B81" i="12"/>
  <c r="B80" i="12"/>
  <c r="C80" i="12" s="1"/>
  <c r="E80" i="12" s="1"/>
  <c r="B79" i="12"/>
  <c r="B78" i="12"/>
  <c r="C78" i="12" s="1"/>
  <c r="E78" i="12" s="1"/>
  <c r="B77" i="12"/>
  <c r="B76" i="12"/>
  <c r="C76" i="12" s="1"/>
  <c r="E76" i="12" s="1"/>
  <c r="B75" i="12"/>
  <c r="B74" i="12"/>
  <c r="C74" i="12" s="1"/>
  <c r="E74" i="12" s="1"/>
  <c r="B73" i="12"/>
  <c r="B72" i="12"/>
  <c r="C72" i="12" s="1"/>
  <c r="E72" i="12" s="1"/>
  <c r="B71" i="12"/>
  <c r="B70" i="12"/>
  <c r="C70" i="12" s="1"/>
  <c r="E70" i="12" s="1"/>
  <c r="B69" i="12"/>
  <c r="B68" i="12"/>
  <c r="C68" i="12" s="1"/>
  <c r="E68" i="12" s="1"/>
  <c r="B67" i="12"/>
  <c r="B66" i="12"/>
  <c r="C66" i="12" s="1"/>
  <c r="E66" i="12" s="1"/>
  <c r="B65" i="12"/>
  <c r="B64" i="12"/>
  <c r="C64" i="12" s="1"/>
  <c r="E64" i="12" s="1"/>
  <c r="B63" i="12"/>
  <c r="B62" i="12"/>
  <c r="C62" i="12" s="1"/>
  <c r="B61" i="12"/>
  <c r="B60" i="12"/>
  <c r="C60" i="12" s="1"/>
  <c r="B59" i="12"/>
  <c r="B58" i="12"/>
  <c r="C58" i="12" s="1"/>
  <c r="B57" i="12"/>
  <c r="B56" i="12"/>
  <c r="B55" i="12"/>
  <c r="B54" i="12"/>
  <c r="C54" i="12" s="1"/>
  <c r="B53" i="12"/>
  <c r="B52" i="12"/>
  <c r="C52" i="12" s="1"/>
  <c r="B51" i="12"/>
  <c r="B50" i="12"/>
  <c r="C50" i="12" s="1"/>
  <c r="B49" i="12"/>
  <c r="B48" i="12"/>
  <c r="C48" i="12" s="1"/>
  <c r="B47" i="12"/>
  <c r="B46" i="12"/>
  <c r="B45" i="12"/>
  <c r="B44" i="12"/>
  <c r="C44" i="12" s="1"/>
  <c r="B43" i="12"/>
  <c r="B42" i="12"/>
  <c r="C42" i="12" s="1"/>
  <c r="B41" i="12"/>
  <c r="B40" i="12"/>
  <c r="C40" i="12" s="1"/>
  <c r="B39" i="12"/>
  <c r="B38" i="12"/>
  <c r="C38" i="12" s="1"/>
  <c r="B37" i="12"/>
  <c r="B36" i="12"/>
  <c r="B35" i="12"/>
  <c r="B34" i="12"/>
  <c r="C34" i="12" s="1"/>
  <c r="B33" i="12"/>
  <c r="B32" i="12"/>
  <c r="C32" i="12" s="1"/>
  <c r="B31" i="12"/>
  <c r="B30" i="12"/>
  <c r="B29" i="12"/>
  <c r="B28" i="12"/>
  <c r="C28" i="12" s="1"/>
  <c r="B27" i="12"/>
  <c r="B26" i="12"/>
  <c r="B25" i="12"/>
  <c r="B24" i="12"/>
  <c r="C24" i="12" s="1"/>
  <c r="B23" i="12"/>
  <c r="B22" i="12"/>
  <c r="C22" i="12" s="1"/>
  <c r="B21" i="12"/>
  <c r="B20" i="12"/>
  <c r="C20" i="12" s="1"/>
  <c r="B19" i="12"/>
  <c r="B18" i="12"/>
  <c r="C18" i="12" s="1"/>
  <c r="B17" i="12"/>
  <c r="B16" i="12"/>
  <c r="C16" i="12" s="1"/>
  <c r="B15" i="12"/>
  <c r="B14" i="12"/>
  <c r="B13" i="12"/>
  <c r="B12" i="12"/>
  <c r="C12" i="12" s="1"/>
  <c r="B11" i="12"/>
  <c r="B10" i="12"/>
  <c r="C10" i="12" s="1"/>
  <c r="B9" i="12"/>
  <c r="B8" i="12"/>
  <c r="B7" i="12"/>
  <c r="B6" i="12"/>
  <c r="C6" i="12" s="1"/>
  <c r="B5" i="12"/>
  <c r="B4" i="12"/>
  <c r="B3" i="12"/>
  <c r="B2" i="12"/>
  <c r="C2" i="12" s="1"/>
  <c r="D2" i="11"/>
  <c r="C2" i="10"/>
  <c r="C2" i="9"/>
  <c r="E2" i="9" s="1"/>
  <c r="C2" i="8"/>
  <c r="F2" i="62" s="1"/>
  <c r="E2" i="7"/>
  <c r="G2" i="6"/>
  <c r="D2" i="6"/>
  <c r="F2" i="6" s="1"/>
  <c r="D7" i="5"/>
  <c r="D6" i="5"/>
  <c r="D5" i="5"/>
  <c r="D4" i="5"/>
  <c r="D3" i="5"/>
  <c r="D2" i="5"/>
  <c r="D631" i="1"/>
  <c r="D630" i="1"/>
  <c r="D629" i="1"/>
  <c r="D628" i="1"/>
  <c r="D600" i="1"/>
  <c r="D599" i="1"/>
  <c r="D570" i="1"/>
  <c r="D569" i="1"/>
  <c r="D568" i="1"/>
  <c r="D567" i="1"/>
  <c r="D539" i="1"/>
  <c r="D538" i="1"/>
  <c r="D509" i="1"/>
  <c r="D508" i="1"/>
  <c r="D507" i="1"/>
  <c r="D506" i="1"/>
  <c r="D476" i="1"/>
  <c r="D475" i="1"/>
  <c r="D446" i="1"/>
  <c r="D443" i="1"/>
  <c r="D442" i="1"/>
  <c r="D441" i="1"/>
  <c r="D440" i="1"/>
  <c r="D410" i="1"/>
  <c r="D409" i="1"/>
  <c r="D379" i="1"/>
  <c r="D376" i="1"/>
  <c r="D373" i="1"/>
  <c r="D372" i="1"/>
  <c r="D371" i="1"/>
  <c r="D370" i="1"/>
  <c r="D340" i="1"/>
  <c r="D339" i="1"/>
  <c r="D309" i="1"/>
  <c r="D306" i="1"/>
  <c r="D303" i="1"/>
  <c r="D302" i="1"/>
  <c r="D301" i="1"/>
  <c r="D300" i="1"/>
  <c r="D299" i="1"/>
  <c r="D269" i="1"/>
  <c r="D268" i="1"/>
  <c r="D237" i="1"/>
  <c r="D234" i="1"/>
  <c r="D231" i="1"/>
  <c r="D230" i="1"/>
  <c r="D229" i="1"/>
  <c r="D228" i="1"/>
  <c r="D198" i="1"/>
  <c r="D197" i="1"/>
  <c r="D152" i="1"/>
  <c r="D151" i="1"/>
  <c r="D150" i="1"/>
  <c r="D149" i="1"/>
  <c r="D147" i="1"/>
  <c r="D145" i="1"/>
  <c r="D121" i="1"/>
  <c r="D119" i="1"/>
  <c r="D117" i="1"/>
  <c r="D115" i="1"/>
  <c r="D113" i="1"/>
  <c r="D111" i="1"/>
  <c r="D109" i="1"/>
  <c r="D107" i="1"/>
  <c r="D105" i="1"/>
  <c r="D103" i="1"/>
  <c r="D101" i="1"/>
  <c r="D99" i="1"/>
  <c r="D97" i="1"/>
  <c r="D95" i="1"/>
  <c r="D93" i="1"/>
  <c r="D91" i="1"/>
  <c r="D89" i="1"/>
  <c r="D87" i="1"/>
  <c r="D85" i="1"/>
  <c r="D83" i="1"/>
  <c r="D73" i="1"/>
  <c r="D65" i="1"/>
  <c r="D58" i="1"/>
  <c r="D56" i="1"/>
  <c r="D55" i="1"/>
  <c r="D50" i="1"/>
  <c r="D48" i="1"/>
  <c r="D47" i="1"/>
  <c r="D39" i="1"/>
  <c r="D38" i="1"/>
  <c r="D37" i="1"/>
  <c r="D31" i="1"/>
  <c r="D25" i="1"/>
  <c r="D24" i="1"/>
  <c r="D23" i="1"/>
  <c r="D19" i="1"/>
  <c r="D17" i="1"/>
  <c r="D16" i="1"/>
  <c r="D14" i="1"/>
  <c r="C3" i="61" l="1"/>
  <c r="D3" i="61" s="1"/>
  <c r="E3" i="61" s="1"/>
  <c r="C3" i="62" s="1"/>
  <c r="D3" i="62" s="1"/>
  <c r="D84" i="1"/>
  <c r="D90" i="1"/>
  <c r="D96" i="1"/>
  <c r="D102" i="1"/>
  <c r="D108" i="1"/>
  <c r="D114" i="1"/>
  <c r="D120" i="1"/>
  <c r="E5" i="54"/>
  <c r="C2" i="61"/>
  <c r="D2" i="61" s="1"/>
  <c r="E2" i="61" s="1"/>
  <c r="C2" i="62" s="1"/>
  <c r="D2" i="62" s="1"/>
  <c r="C6" i="61"/>
  <c r="D6" i="61" s="1"/>
  <c r="E6" i="61" s="1"/>
  <c r="C6" i="62" s="1"/>
  <c r="D6" i="62" s="1"/>
  <c r="D86" i="1"/>
  <c r="D92" i="1"/>
  <c r="D98" i="1"/>
  <c r="D104" i="1"/>
  <c r="D110" i="1"/>
  <c r="D116" i="1"/>
  <c r="C4" i="61"/>
  <c r="D4" i="61" s="1"/>
  <c r="E4" i="61" s="1"/>
  <c r="C4" i="62" s="1"/>
  <c r="D4" i="62" s="1"/>
  <c r="D82" i="1"/>
  <c r="D88" i="1"/>
  <c r="D94" i="1"/>
  <c r="D100" i="1"/>
  <c r="D106" i="1"/>
  <c r="D112" i="1"/>
  <c r="D8" i="5"/>
  <c r="E3" i="54"/>
  <c r="C5" i="61"/>
  <c r="D5" i="61" s="1"/>
  <c r="E5" i="61" s="1"/>
  <c r="C5" i="62" s="1"/>
  <c r="D5" i="62" s="1"/>
  <c r="E557" i="12"/>
  <c r="E875" i="12"/>
  <c r="E923" i="12"/>
  <c r="E969" i="12"/>
  <c r="E611" i="12"/>
  <c r="E811" i="12"/>
  <c r="E785" i="12"/>
  <c r="E955" i="12"/>
  <c r="E821" i="12"/>
  <c r="E851" i="12"/>
  <c r="E857" i="12"/>
  <c r="E351" i="12"/>
  <c r="E545" i="12"/>
  <c r="E707" i="12"/>
  <c r="E827" i="12"/>
  <c r="E947" i="12"/>
  <c r="E787" i="12"/>
  <c r="C797" i="12"/>
  <c r="E797" i="12" s="1"/>
  <c r="E957" i="12"/>
  <c r="C984" i="12"/>
  <c r="E984" i="12" s="1"/>
  <c r="C994" i="12"/>
  <c r="E994" i="12" s="1"/>
  <c r="E281" i="12"/>
  <c r="E775" i="12"/>
  <c r="E899" i="12"/>
  <c r="E962" i="12"/>
  <c r="C972" i="12"/>
  <c r="E972" i="12" s="1"/>
  <c r="E976" i="12"/>
  <c r="E107" i="12"/>
  <c r="E99" i="12"/>
  <c r="E105" i="12"/>
  <c r="E111" i="12"/>
  <c r="E117" i="12"/>
  <c r="E123" i="12"/>
  <c r="E129" i="12"/>
  <c r="E135" i="12"/>
  <c r="E141" i="12"/>
  <c r="E147" i="12"/>
  <c r="E153" i="12"/>
  <c r="E159" i="12"/>
  <c r="E165" i="12"/>
  <c r="E171" i="12"/>
  <c r="E177" i="12"/>
  <c r="E183" i="12"/>
  <c r="E189" i="12"/>
  <c r="E195" i="12"/>
  <c r="E201" i="12"/>
  <c r="E207" i="12"/>
  <c r="E213" i="12"/>
  <c r="E219" i="12"/>
  <c r="E225" i="12"/>
  <c r="E291" i="12"/>
  <c r="E313" i="12"/>
  <c r="E373" i="12"/>
  <c r="C436" i="12"/>
  <c r="E436" i="12" s="1"/>
  <c r="C472" i="12"/>
  <c r="E472" i="12" s="1"/>
  <c r="C448" i="12"/>
  <c r="E448" i="12" s="1"/>
  <c r="C635" i="12"/>
  <c r="E635" i="12" s="1"/>
  <c r="C737" i="12"/>
  <c r="E737" i="12" s="1"/>
  <c r="C789" i="12"/>
  <c r="E789" i="12" s="1"/>
  <c r="C825" i="12"/>
  <c r="E825" i="12" s="1"/>
  <c r="C987" i="12"/>
  <c r="E987" i="12" s="1"/>
  <c r="C993" i="12"/>
  <c r="E993" i="12" s="1"/>
  <c r="C100" i="12"/>
  <c r="E100" i="12" s="1"/>
  <c r="C106" i="12"/>
  <c r="E106" i="12" s="1"/>
  <c r="C112" i="12"/>
  <c r="E112" i="12" s="1"/>
  <c r="C118" i="12"/>
  <c r="E118" i="12" s="1"/>
  <c r="C124" i="12"/>
  <c r="E124" i="12" s="1"/>
  <c r="C130" i="12"/>
  <c r="E130" i="12" s="1"/>
  <c r="C136" i="12"/>
  <c r="E136" i="12" s="1"/>
  <c r="C142" i="12"/>
  <c r="E142" i="12" s="1"/>
  <c r="C148" i="12"/>
  <c r="E148" i="12" s="1"/>
  <c r="C154" i="12"/>
  <c r="E154" i="12" s="1"/>
  <c r="C160" i="12"/>
  <c r="E160" i="12" s="1"/>
  <c r="C166" i="12"/>
  <c r="E166" i="12" s="1"/>
  <c r="C172" i="12"/>
  <c r="E172" i="12" s="1"/>
  <c r="C178" i="12"/>
  <c r="E178" i="12" s="1"/>
  <c r="C184" i="12"/>
  <c r="E184" i="12" s="1"/>
  <c r="C190" i="12"/>
  <c r="E190" i="12" s="1"/>
  <c r="C196" i="12"/>
  <c r="E196" i="12" s="1"/>
  <c r="C202" i="12"/>
  <c r="E202" i="12" s="1"/>
  <c r="C208" i="12"/>
  <c r="E208" i="12" s="1"/>
  <c r="C214" i="12"/>
  <c r="E214" i="12" s="1"/>
  <c r="C220" i="12"/>
  <c r="E220" i="12" s="1"/>
  <c r="C226" i="12"/>
  <c r="E226" i="12" s="1"/>
  <c r="C255" i="12"/>
  <c r="E255" i="12" s="1"/>
  <c r="C349" i="12"/>
  <c r="E349" i="12" s="1"/>
  <c r="C371" i="12"/>
  <c r="E371" i="12" s="1"/>
  <c r="C466" i="12"/>
  <c r="E466" i="12" s="1"/>
  <c r="C755" i="12"/>
  <c r="E755" i="12" s="1"/>
  <c r="C279" i="12"/>
  <c r="E279" i="12" s="1"/>
  <c r="E289" i="12"/>
  <c r="C445" i="12"/>
  <c r="E445" i="12" s="1"/>
  <c r="C454" i="12"/>
  <c r="E454" i="12" s="1"/>
  <c r="C719" i="12"/>
  <c r="E719" i="12" s="1"/>
  <c r="C809" i="12"/>
  <c r="E809" i="12" s="1"/>
  <c r="E253" i="12"/>
  <c r="E315" i="12"/>
  <c r="E327" i="12"/>
  <c r="C361" i="12"/>
  <c r="E361" i="12" s="1"/>
  <c r="C442" i="12"/>
  <c r="E442" i="12" s="1"/>
  <c r="C478" i="12"/>
  <c r="E478" i="12" s="1"/>
  <c r="E119" i="12"/>
  <c r="E131" i="12"/>
  <c r="E143" i="12"/>
  <c r="E155" i="12"/>
  <c r="E167" i="12"/>
  <c r="E179" i="12"/>
  <c r="E191" i="12"/>
  <c r="E203" i="12"/>
  <c r="E215" i="12"/>
  <c r="E227" i="12"/>
  <c r="C347" i="12"/>
  <c r="E347" i="12" s="1"/>
  <c r="C439" i="12"/>
  <c r="E439" i="12" s="1"/>
  <c r="C451" i="12"/>
  <c r="E451" i="12" s="1"/>
  <c r="C460" i="12"/>
  <c r="E460" i="12" s="1"/>
  <c r="C701" i="12"/>
  <c r="E701" i="12" s="1"/>
  <c r="C779" i="12"/>
  <c r="E779" i="12" s="1"/>
  <c r="C815" i="12"/>
  <c r="E815" i="12" s="1"/>
  <c r="C981" i="12"/>
  <c r="E981" i="12" s="1"/>
  <c r="E599" i="12"/>
  <c r="E765" i="12"/>
  <c r="E965" i="12"/>
  <c r="E977" i="12"/>
  <c r="E1001" i="12"/>
  <c r="E777" i="12"/>
  <c r="C803" i="12"/>
  <c r="E803" i="12" s="1"/>
  <c r="E963" i="12"/>
  <c r="C970" i="12"/>
  <c r="E970" i="12" s="1"/>
  <c r="E539" i="12"/>
  <c r="E551" i="12"/>
  <c r="E563" i="12"/>
  <c r="E763" i="12"/>
  <c r="E979" i="12"/>
  <c r="C328" i="12"/>
  <c r="E328" i="12" s="1"/>
  <c r="C321" i="12"/>
  <c r="E321" i="12" s="1"/>
  <c r="C8" i="12"/>
  <c r="E8" i="12" s="1"/>
  <c r="C30" i="12"/>
  <c r="E30" i="12" s="1"/>
  <c r="C56" i="12"/>
  <c r="E56" i="12" s="1"/>
  <c r="C4" i="12"/>
  <c r="E4" i="12" s="1"/>
  <c r="C14" i="12"/>
  <c r="E14" i="12" s="1"/>
  <c r="C26" i="12"/>
  <c r="E26" i="12" s="1"/>
  <c r="C36" i="12"/>
  <c r="E36" i="12" s="1"/>
  <c r="C46" i="12"/>
  <c r="E46" i="12" s="1"/>
  <c r="E103" i="12"/>
  <c r="E115" i="12"/>
  <c r="E127" i="12"/>
  <c r="E139" i="12"/>
  <c r="E151" i="12"/>
  <c r="E163" i="12"/>
  <c r="E175" i="12"/>
  <c r="E187" i="12"/>
  <c r="E199" i="12"/>
  <c r="E211" i="12"/>
  <c r="E223" i="12"/>
  <c r="C369" i="12"/>
  <c r="E369" i="12" s="1"/>
  <c r="C388" i="12"/>
  <c r="E388" i="12" s="1"/>
  <c r="E2" i="12"/>
  <c r="E6" i="12"/>
  <c r="E10" i="12"/>
  <c r="E12" i="12"/>
  <c r="E16" i="12"/>
  <c r="E18" i="12"/>
  <c r="E20" i="12"/>
  <c r="E22" i="12"/>
  <c r="E24" i="12"/>
  <c r="E28" i="12"/>
  <c r="E32" i="12"/>
  <c r="E34" i="12"/>
  <c r="E38" i="12"/>
  <c r="E40" i="12"/>
  <c r="E42" i="12"/>
  <c r="E44" i="12"/>
  <c r="E48" i="12"/>
  <c r="E50" i="12"/>
  <c r="E52" i="12"/>
  <c r="E54" i="12"/>
  <c r="E58" i="12"/>
  <c r="E60" i="12"/>
  <c r="E62" i="12"/>
  <c r="E101" i="12"/>
  <c r="E113" i="12"/>
  <c r="E125" i="12"/>
  <c r="E137" i="12"/>
  <c r="E149" i="12"/>
  <c r="E161" i="12"/>
  <c r="E173" i="12"/>
  <c r="E185" i="12"/>
  <c r="E197" i="12"/>
  <c r="E209" i="12"/>
  <c r="E221" i="12"/>
  <c r="C231" i="12"/>
  <c r="E231" i="12" s="1"/>
  <c r="E241" i="12"/>
  <c r="C249" i="12"/>
  <c r="E249" i="12" s="1"/>
  <c r="E257" i="12"/>
  <c r="E265" i="12"/>
  <c r="C271" i="12"/>
  <c r="E271" i="12" s="1"/>
  <c r="C285" i="12"/>
  <c r="E285" i="12" s="1"/>
  <c r="E293" i="12"/>
  <c r="E301" i="12"/>
  <c r="C307" i="12"/>
  <c r="E307" i="12" s="1"/>
  <c r="E318" i="12"/>
  <c r="D2" i="8"/>
  <c r="E2" i="62" s="1"/>
  <c r="C3" i="12"/>
  <c r="E3" i="12" s="1"/>
  <c r="C5" i="12"/>
  <c r="E5" i="12" s="1"/>
  <c r="C7" i="12"/>
  <c r="E7" i="12" s="1"/>
  <c r="C9" i="12"/>
  <c r="E9" i="12" s="1"/>
  <c r="C11" i="12"/>
  <c r="E11" i="12" s="1"/>
  <c r="C13" i="12"/>
  <c r="E13" i="12" s="1"/>
  <c r="C15" i="12"/>
  <c r="E15" i="12" s="1"/>
  <c r="C17" i="12"/>
  <c r="E17" i="12" s="1"/>
  <c r="C19" i="12"/>
  <c r="E19" i="12" s="1"/>
  <c r="C21" i="12"/>
  <c r="E21" i="12" s="1"/>
  <c r="C23" i="12"/>
  <c r="E23" i="12" s="1"/>
  <c r="C25" i="12"/>
  <c r="E25" i="12" s="1"/>
  <c r="C27" i="12"/>
  <c r="E27" i="12" s="1"/>
  <c r="C29" i="12"/>
  <c r="E29" i="12" s="1"/>
  <c r="C31" i="12"/>
  <c r="E31" i="12" s="1"/>
  <c r="C33" i="12"/>
  <c r="E33" i="12" s="1"/>
  <c r="C35" i="12"/>
  <c r="E35" i="12" s="1"/>
  <c r="C37" i="12"/>
  <c r="E37" i="12" s="1"/>
  <c r="C39" i="12"/>
  <c r="E39" i="12" s="1"/>
  <c r="C41" i="12"/>
  <c r="E41" i="12" s="1"/>
  <c r="C43" i="12"/>
  <c r="E43" i="12" s="1"/>
  <c r="C45" i="12"/>
  <c r="E45" i="12" s="1"/>
  <c r="C47" i="12"/>
  <c r="E47" i="12" s="1"/>
  <c r="C49" i="12"/>
  <c r="E49" i="12" s="1"/>
  <c r="C51" i="12"/>
  <c r="E51" i="12" s="1"/>
  <c r="C53" i="12"/>
  <c r="E53" i="12" s="1"/>
  <c r="C55" i="12"/>
  <c r="E55" i="12" s="1"/>
  <c r="C57" i="12"/>
  <c r="E57" i="12" s="1"/>
  <c r="C59" i="12"/>
  <c r="E59" i="12" s="1"/>
  <c r="C61" i="12"/>
  <c r="E61" i="12" s="1"/>
  <c r="C63" i="12"/>
  <c r="E63" i="12" s="1"/>
  <c r="C65" i="12"/>
  <c r="E65" i="12" s="1"/>
  <c r="C67" i="12"/>
  <c r="E67" i="12" s="1"/>
  <c r="C69" i="12"/>
  <c r="E69" i="12" s="1"/>
  <c r="C71" i="12"/>
  <c r="E71" i="12" s="1"/>
  <c r="C73" i="12"/>
  <c r="E73" i="12" s="1"/>
  <c r="C75" i="12"/>
  <c r="E75" i="12" s="1"/>
  <c r="C77" i="12"/>
  <c r="E77" i="12" s="1"/>
  <c r="C79" i="12"/>
  <c r="E79" i="12" s="1"/>
  <c r="C81" i="12"/>
  <c r="E81" i="12" s="1"/>
  <c r="C83" i="12"/>
  <c r="E83" i="12" s="1"/>
  <c r="C85" i="12"/>
  <c r="E85" i="12" s="1"/>
  <c r="C87" i="12"/>
  <c r="E87" i="12" s="1"/>
  <c r="C89" i="12"/>
  <c r="E89" i="12" s="1"/>
  <c r="C91" i="12"/>
  <c r="E91" i="12" s="1"/>
  <c r="C93" i="12"/>
  <c r="E93" i="12" s="1"/>
  <c r="C95" i="12"/>
  <c r="E95" i="12" s="1"/>
  <c r="E97" i="12"/>
  <c r="E109" i="12"/>
  <c r="E121" i="12"/>
  <c r="E133" i="12"/>
  <c r="E145" i="12"/>
  <c r="E157" i="12"/>
  <c r="E169" i="12"/>
  <c r="E181" i="12"/>
  <c r="E193" i="12"/>
  <c r="E205" i="12"/>
  <c r="E217" i="12"/>
  <c r="E229" i="12"/>
  <c r="C237" i="12"/>
  <c r="E237" i="12" s="1"/>
  <c r="C245" i="12"/>
  <c r="E245" i="12" s="1"/>
  <c r="C261" i="12"/>
  <c r="E261" i="12" s="1"/>
  <c r="E269" i="12"/>
  <c r="E277" i="12"/>
  <c r="C283" i="12"/>
  <c r="E283" i="12" s="1"/>
  <c r="E305" i="12"/>
  <c r="E243" i="12"/>
  <c r="E259" i="12"/>
  <c r="E267" i="12"/>
  <c r="E295" i="12"/>
  <c r="E303" i="12"/>
  <c r="C364" i="12"/>
  <c r="E364" i="12" s="1"/>
  <c r="E323" i="12"/>
  <c r="E330" i="12"/>
  <c r="C333" i="12"/>
  <c r="E333" i="12" s="1"/>
  <c r="C340" i="12"/>
  <c r="E340" i="12" s="1"/>
  <c r="E359" i="12"/>
  <c r="C381" i="12"/>
  <c r="E381" i="12" s="1"/>
  <c r="C674" i="12"/>
  <c r="E674" i="12" s="1"/>
  <c r="C682" i="12"/>
  <c r="E682" i="12" s="1"/>
  <c r="C805" i="12"/>
  <c r="E805" i="12" s="1"/>
  <c r="C818" i="12"/>
  <c r="E818" i="12" s="1"/>
  <c r="C856" i="12"/>
  <c r="E856" i="12" s="1"/>
  <c r="C868" i="12"/>
  <c r="E868" i="12" s="1"/>
  <c r="C880" i="12"/>
  <c r="E880" i="12" s="1"/>
  <c r="C892" i="12"/>
  <c r="E892" i="12" s="1"/>
  <c r="C904" i="12"/>
  <c r="E904" i="12" s="1"/>
  <c r="C916" i="12"/>
  <c r="E916" i="12" s="1"/>
  <c r="C928" i="12"/>
  <c r="E928" i="12" s="1"/>
  <c r="C940" i="12"/>
  <c r="E940" i="12" s="1"/>
  <c r="C952" i="12"/>
  <c r="E952" i="12" s="1"/>
  <c r="C393" i="12"/>
  <c r="E393" i="12" s="1"/>
  <c r="C316" i="12"/>
  <c r="E316" i="12" s="1"/>
  <c r="E335" i="12"/>
  <c r="E342" i="12"/>
  <c r="C345" i="12"/>
  <c r="E345" i="12" s="1"/>
  <c r="C352" i="12"/>
  <c r="E352" i="12" s="1"/>
  <c r="E383" i="12"/>
  <c r="C602" i="12"/>
  <c r="E602" i="12" s="1"/>
  <c r="C619" i="12"/>
  <c r="E619" i="12" s="1"/>
  <c r="C548" i="12"/>
  <c r="E548" i="12" s="1"/>
  <c r="C560" i="12"/>
  <c r="E560" i="12" s="1"/>
  <c r="E354" i="12"/>
  <c r="C357" i="12"/>
  <c r="E357" i="12" s="1"/>
  <c r="C376" i="12"/>
  <c r="E376" i="12" s="1"/>
  <c r="E366" i="12"/>
  <c r="E378" i="12"/>
  <c r="E390" i="12"/>
  <c r="E395" i="12"/>
  <c r="E398" i="12"/>
  <c r="E401" i="12"/>
  <c r="E404" i="12"/>
  <c r="E407" i="12"/>
  <c r="E410" i="12"/>
  <c r="E413" i="12"/>
  <c r="E416" i="12"/>
  <c r="E419" i="12"/>
  <c r="E422" i="12"/>
  <c r="E425" i="12"/>
  <c r="E428" i="12"/>
  <c r="E431" i="12"/>
  <c r="E434" i="12"/>
  <c r="E437" i="12"/>
  <c r="E440" i="12"/>
  <c r="E443" i="12"/>
  <c r="E446" i="12"/>
  <c r="E449" i="12"/>
  <c r="E452" i="12"/>
  <c r="E458" i="12"/>
  <c r="E464" i="12"/>
  <c r="E470" i="12"/>
  <c r="E476" i="12"/>
  <c r="C547" i="12"/>
  <c r="E547" i="12" s="1"/>
  <c r="C559" i="12"/>
  <c r="E559" i="12" s="1"/>
  <c r="C614" i="12"/>
  <c r="E614" i="12" s="1"/>
  <c r="C631" i="12"/>
  <c r="E631" i="12" s="1"/>
  <c r="C693" i="12"/>
  <c r="E693" i="12" s="1"/>
  <c r="C711" i="12"/>
  <c r="E711" i="12" s="1"/>
  <c r="C729" i="12"/>
  <c r="E729" i="12" s="1"/>
  <c r="C754" i="12"/>
  <c r="E754" i="12" s="1"/>
  <c r="E314" i="12"/>
  <c r="E326" i="12"/>
  <c r="E338" i="12"/>
  <c r="E350" i="12"/>
  <c r="E362" i="12"/>
  <c r="E374" i="12"/>
  <c r="E386" i="12"/>
  <c r="E396" i="12"/>
  <c r="E399" i="12"/>
  <c r="E402" i="12"/>
  <c r="E405" i="12"/>
  <c r="E408" i="12"/>
  <c r="E411" i="12"/>
  <c r="E414" i="12"/>
  <c r="E417" i="12"/>
  <c r="E420" i="12"/>
  <c r="E423" i="12"/>
  <c r="E426" i="12"/>
  <c r="E429" i="12"/>
  <c r="E432" i="12"/>
  <c r="E435" i="12"/>
  <c r="E438" i="12"/>
  <c r="E441" i="12"/>
  <c r="E444" i="12"/>
  <c r="E447" i="12"/>
  <c r="E450" i="12"/>
  <c r="E456" i="12"/>
  <c r="E462" i="12"/>
  <c r="E468" i="12"/>
  <c r="E474" i="12"/>
  <c r="C590" i="12"/>
  <c r="E590" i="12" s="1"/>
  <c r="C607" i="12"/>
  <c r="E607" i="12" s="1"/>
  <c r="C662" i="12"/>
  <c r="E662" i="12" s="1"/>
  <c r="C705" i="12"/>
  <c r="E705" i="12" s="1"/>
  <c r="C723" i="12"/>
  <c r="E723" i="12" s="1"/>
  <c r="C741" i="12"/>
  <c r="E741" i="12" s="1"/>
  <c r="C776" i="12"/>
  <c r="E776" i="12" s="1"/>
  <c r="C783" i="12"/>
  <c r="E783" i="12" s="1"/>
  <c r="C541" i="12"/>
  <c r="E541" i="12" s="1"/>
  <c r="C553" i="12"/>
  <c r="E553" i="12" s="1"/>
  <c r="C565" i="12"/>
  <c r="E565" i="12" s="1"/>
  <c r="C578" i="12"/>
  <c r="E578" i="12" s="1"/>
  <c r="C595" i="12"/>
  <c r="E595" i="12" s="1"/>
  <c r="C650" i="12"/>
  <c r="E650" i="12" s="1"/>
  <c r="C667" i="12"/>
  <c r="E667" i="12" s="1"/>
  <c r="C317" i="12"/>
  <c r="E317" i="12" s="1"/>
  <c r="C324" i="12"/>
  <c r="E324" i="12" s="1"/>
  <c r="C329" i="12"/>
  <c r="E329" i="12" s="1"/>
  <c r="C336" i="12"/>
  <c r="E336" i="12" s="1"/>
  <c r="C341" i="12"/>
  <c r="E341" i="12" s="1"/>
  <c r="C348" i="12"/>
  <c r="E348" i="12" s="1"/>
  <c r="C353" i="12"/>
  <c r="E353" i="12" s="1"/>
  <c r="C360" i="12"/>
  <c r="E360" i="12" s="1"/>
  <c r="C365" i="12"/>
  <c r="E365" i="12" s="1"/>
  <c r="C372" i="12"/>
  <c r="E372" i="12" s="1"/>
  <c r="C377" i="12"/>
  <c r="E377" i="12" s="1"/>
  <c r="C384" i="12"/>
  <c r="E384" i="12" s="1"/>
  <c r="C389" i="12"/>
  <c r="E389" i="12" s="1"/>
  <c r="C542" i="12"/>
  <c r="E542" i="12" s="1"/>
  <c r="C554" i="12"/>
  <c r="E554" i="12" s="1"/>
  <c r="C566" i="12"/>
  <c r="E566" i="12" s="1"/>
  <c r="C583" i="12"/>
  <c r="E583" i="12" s="1"/>
  <c r="C638" i="12"/>
  <c r="E638" i="12" s="1"/>
  <c r="C655" i="12"/>
  <c r="E655" i="12" s="1"/>
  <c r="C699" i="12"/>
  <c r="E699" i="12" s="1"/>
  <c r="C717" i="12"/>
  <c r="E717" i="12" s="1"/>
  <c r="C735" i="12"/>
  <c r="E735" i="12" s="1"/>
  <c r="C770" i="12"/>
  <c r="E770" i="12" s="1"/>
  <c r="E320" i="12"/>
  <c r="C322" i="12"/>
  <c r="E322" i="12" s="1"/>
  <c r="E332" i="12"/>
  <c r="C334" i="12"/>
  <c r="E334" i="12" s="1"/>
  <c r="E344" i="12"/>
  <c r="C346" i="12"/>
  <c r="E346" i="12" s="1"/>
  <c r="E356" i="12"/>
  <c r="C358" i="12"/>
  <c r="E358" i="12" s="1"/>
  <c r="E368" i="12"/>
  <c r="C370" i="12"/>
  <c r="E370" i="12" s="1"/>
  <c r="E380" i="12"/>
  <c r="C382" i="12"/>
  <c r="E382" i="12" s="1"/>
  <c r="E392" i="12"/>
  <c r="C394" i="12"/>
  <c r="E394" i="12" s="1"/>
  <c r="C397" i="12"/>
  <c r="E397" i="12" s="1"/>
  <c r="C400" i="12"/>
  <c r="E400" i="12" s="1"/>
  <c r="C403" i="12"/>
  <c r="E403" i="12" s="1"/>
  <c r="C406" i="12"/>
  <c r="E406" i="12" s="1"/>
  <c r="C409" i="12"/>
  <c r="E409" i="12" s="1"/>
  <c r="C412" i="12"/>
  <c r="E412" i="12" s="1"/>
  <c r="C415" i="12"/>
  <c r="E415" i="12" s="1"/>
  <c r="C418" i="12"/>
  <c r="E418" i="12" s="1"/>
  <c r="C421" i="12"/>
  <c r="E421" i="12" s="1"/>
  <c r="C424" i="12"/>
  <c r="E424" i="12" s="1"/>
  <c r="C427" i="12"/>
  <c r="E427" i="12" s="1"/>
  <c r="C430" i="12"/>
  <c r="E430" i="12" s="1"/>
  <c r="C433" i="12"/>
  <c r="E433" i="12" s="1"/>
  <c r="C571" i="12"/>
  <c r="E571" i="12" s="1"/>
  <c r="C626" i="12"/>
  <c r="E626" i="12" s="1"/>
  <c r="C643" i="12"/>
  <c r="E643" i="12" s="1"/>
  <c r="E544" i="12"/>
  <c r="E556" i="12"/>
  <c r="E568" i="12"/>
  <c r="E577" i="12"/>
  <c r="E580" i="12"/>
  <c r="E589" i="12"/>
  <c r="E592" i="12"/>
  <c r="E601" i="12"/>
  <c r="E604" i="12"/>
  <c r="E613" i="12"/>
  <c r="E616" i="12"/>
  <c r="E625" i="12"/>
  <c r="E628" i="12"/>
  <c r="E637" i="12"/>
  <c r="E640" i="12"/>
  <c r="E649" i="12"/>
  <c r="E652" i="12"/>
  <c r="E661" i="12"/>
  <c r="E664" i="12"/>
  <c r="E673" i="12"/>
  <c r="E676" i="12"/>
  <c r="E678" i="12"/>
  <c r="C681" i="12"/>
  <c r="E681" i="12" s="1"/>
  <c r="C769" i="12"/>
  <c r="E769" i="12" s="1"/>
  <c r="E802" i="12"/>
  <c r="C817" i="12"/>
  <c r="E817" i="12" s="1"/>
  <c r="C824" i="12"/>
  <c r="E824" i="12" s="1"/>
  <c r="E831" i="12"/>
  <c r="E847" i="12"/>
  <c r="C855" i="12"/>
  <c r="E855" i="12" s="1"/>
  <c r="E859" i="12"/>
  <c r="C757" i="12"/>
  <c r="E757" i="12" s="1"/>
  <c r="C764" i="12"/>
  <c r="E764" i="12" s="1"/>
  <c r="C799" i="12"/>
  <c r="E799" i="12" s="1"/>
  <c r="E538" i="12"/>
  <c r="C540" i="12"/>
  <c r="E540" i="12" s="1"/>
  <c r="E550" i="12"/>
  <c r="C552" i="12"/>
  <c r="E552" i="12" s="1"/>
  <c r="E562" i="12"/>
  <c r="C564" i="12"/>
  <c r="E564" i="12" s="1"/>
  <c r="E574" i="12"/>
  <c r="C576" i="12"/>
  <c r="E576" i="12" s="1"/>
  <c r="E586" i="12"/>
  <c r="C588" i="12"/>
  <c r="E588" i="12" s="1"/>
  <c r="E598" i="12"/>
  <c r="C600" i="12"/>
  <c r="E600" i="12" s="1"/>
  <c r="E610" i="12"/>
  <c r="C612" i="12"/>
  <c r="E612" i="12" s="1"/>
  <c r="E622" i="12"/>
  <c r="C624" i="12"/>
  <c r="E624" i="12" s="1"/>
  <c r="E634" i="12"/>
  <c r="C636" i="12"/>
  <c r="E636" i="12" s="1"/>
  <c r="E646" i="12"/>
  <c r="C648" i="12"/>
  <c r="E648" i="12" s="1"/>
  <c r="E658" i="12"/>
  <c r="C660" i="12"/>
  <c r="E660" i="12" s="1"/>
  <c r="E670" i="12"/>
  <c r="C672" i="12"/>
  <c r="E672" i="12" s="1"/>
  <c r="C677" i="12"/>
  <c r="E677" i="12" s="1"/>
  <c r="E688" i="12"/>
  <c r="C690" i="12"/>
  <c r="E690" i="12" s="1"/>
  <c r="E694" i="12"/>
  <c r="E700" i="12"/>
  <c r="E706" i="12"/>
  <c r="E712" i="12"/>
  <c r="E718" i="12"/>
  <c r="E724" i="12"/>
  <c r="E730" i="12"/>
  <c r="E736" i="12"/>
  <c r="E742" i="12"/>
  <c r="E751" i="12"/>
  <c r="C758" i="12"/>
  <c r="E758" i="12" s="1"/>
  <c r="C771" i="12"/>
  <c r="E771" i="12" s="1"/>
  <c r="C790" i="12"/>
  <c r="E790" i="12" s="1"/>
  <c r="C745" i="12"/>
  <c r="E745" i="12" s="1"/>
  <c r="C752" i="12"/>
  <c r="E752" i="12" s="1"/>
  <c r="C759" i="12"/>
  <c r="E759" i="12" s="1"/>
  <c r="E546" i="12"/>
  <c r="E558" i="12"/>
  <c r="E570" i="12"/>
  <c r="C572" i="12"/>
  <c r="E572" i="12" s="1"/>
  <c r="E582" i="12"/>
  <c r="C584" i="12"/>
  <c r="E584" i="12" s="1"/>
  <c r="E594" i="12"/>
  <c r="C596" i="12"/>
  <c r="E596" i="12" s="1"/>
  <c r="E606" i="12"/>
  <c r="C608" i="12"/>
  <c r="E608" i="12" s="1"/>
  <c r="E618" i="12"/>
  <c r="C620" i="12"/>
  <c r="E620" i="12" s="1"/>
  <c r="E630" i="12"/>
  <c r="C632" i="12"/>
  <c r="E632" i="12" s="1"/>
  <c r="E642" i="12"/>
  <c r="C644" i="12"/>
  <c r="E644" i="12" s="1"/>
  <c r="E654" i="12"/>
  <c r="C656" i="12"/>
  <c r="E656" i="12" s="1"/>
  <c r="E666" i="12"/>
  <c r="C668" i="12"/>
  <c r="E668" i="12" s="1"/>
  <c r="C686" i="12"/>
  <c r="E686" i="12" s="1"/>
  <c r="E691" i="12"/>
  <c r="E697" i="12"/>
  <c r="E703" i="12"/>
  <c r="E709" i="12"/>
  <c r="E715" i="12"/>
  <c r="E721" i="12"/>
  <c r="E727" i="12"/>
  <c r="E733" i="12"/>
  <c r="E739" i="12"/>
  <c r="C746" i="12"/>
  <c r="E746" i="12" s="1"/>
  <c r="E679" i="12"/>
  <c r="C692" i="12"/>
  <c r="E692" i="12" s="1"/>
  <c r="C698" i="12"/>
  <c r="E698" i="12" s="1"/>
  <c r="C704" i="12"/>
  <c r="E704" i="12" s="1"/>
  <c r="C710" i="12"/>
  <c r="E710" i="12" s="1"/>
  <c r="C716" i="12"/>
  <c r="E716" i="12" s="1"/>
  <c r="C722" i="12"/>
  <c r="E722" i="12" s="1"/>
  <c r="C728" i="12"/>
  <c r="E728" i="12" s="1"/>
  <c r="C734" i="12"/>
  <c r="E734" i="12" s="1"/>
  <c r="C740" i="12"/>
  <c r="E740" i="12" s="1"/>
  <c r="E747" i="12"/>
  <c r="E753" i="12"/>
  <c r="E778" i="12"/>
  <c r="C793" i="12"/>
  <c r="E793" i="12" s="1"/>
  <c r="C806" i="12"/>
  <c r="E806" i="12" s="1"/>
  <c r="C812" i="12"/>
  <c r="E812" i="12" s="1"/>
  <c r="E819" i="12"/>
  <c r="C841" i="12"/>
  <c r="E841" i="12" s="1"/>
  <c r="E766" i="12"/>
  <c r="C781" i="12"/>
  <c r="E781" i="12" s="1"/>
  <c r="C794" i="12"/>
  <c r="E794" i="12" s="1"/>
  <c r="C800" i="12"/>
  <c r="E800" i="12" s="1"/>
  <c r="E807" i="12"/>
  <c r="E813" i="12"/>
  <c r="C835" i="12"/>
  <c r="E835" i="12" s="1"/>
  <c r="C842" i="12"/>
  <c r="E842" i="12" s="1"/>
  <c r="C849" i="12"/>
  <c r="E849" i="12" s="1"/>
  <c r="E853" i="12"/>
  <c r="C861" i="12"/>
  <c r="E861" i="12" s="1"/>
  <c r="E865" i="12"/>
  <c r="E877" i="12"/>
  <c r="E889" i="12"/>
  <c r="E901" i="12"/>
  <c r="E913" i="12"/>
  <c r="E925" i="12"/>
  <c r="E937" i="12"/>
  <c r="E949" i="12"/>
  <c r="C967" i="12"/>
  <c r="E967" i="12" s="1"/>
  <c r="C782" i="12"/>
  <c r="E782" i="12" s="1"/>
  <c r="C788" i="12"/>
  <c r="E788" i="12" s="1"/>
  <c r="E795" i="12"/>
  <c r="E801" i="12"/>
  <c r="C829" i="12"/>
  <c r="E829" i="12" s="1"/>
  <c r="C836" i="12"/>
  <c r="E836" i="12" s="1"/>
  <c r="E843" i="12"/>
  <c r="C850" i="12"/>
  <c r="E850" i="12" s="1"/>
  <c r="C862" i="12"/>
  <c r="E862" i="12" s="1"/>
  <c r="C874" i="12"/>
  <c r="E874" i="12" s="1"/>
  <c r="C886" i="12"/>
  <c r="E886" i="12" s="1"/>
  <c r="C898" i="12"/>
  <c r="E898" i="12" s="1"/>
  <c r="C910" i="12"/>
  <c r="E910" i="12" s="1"/>
  <c r="C922" i="12"/>
  <c r="E922" i="12" s="1"/>
  <c r="C934" i="12"/>
  <c r="E934" i="12" s="1"/>
  <c r="C946" i="12"/>
  <c r="E946" i="12" s="1"/>
  <c r="C961" i="12"/>
  <c r="E961" i="12" s="1"/>
  <c r="E814" i="12"/>
  <c r="C823" i="12"/>
  <c r="E823" i="12" s="1"/>
  <c r="C830" i="12"/>
  <c r="E830" i="12" s="1"/>
  <c r="E837" i="12"/>
  <c r="C867" i="12"/>
  <c r="E867" i="12" s="1"/>
  <c r="E871" i="12"/>
  <c r="E883" i="12"/>
  <c r="E895" i="12"/>
  <c r="E907" i="12"/>
  <c r="E919" i="12"/>
  <c r="E931" i="12"/>
  <c r="E943" i="12"/>
  <c r="E958" i="12"/>
  <c r="C989" i="12"/>
  <c r="E989" i="12" s="1"/>
  <c r="E748" i="12"/>
  <c r="E760" i="12"/>
  <c r="E772" i="12"/>
  <c r="E784" i="12"/>
  <c r="E796" i="12"/>
  <c r="E808" i="12"/>
  <c r="E820" i="12"/>
  <c r="E832" i="12"/>
  <c r="E844" i="12"/>
  <c r="E873" i="12"/>
  <c r="E879" i="12"/>
  <c r="E885" i="12"/>
  <c r="E891" i="12"/>
  <c r="E897" i="12"/>
  <c r="E903" i="12"/>
  <c r="E909" i="12"/>
  <c r="E915" i="12"/>
  <c r="E921" i="12"/>
  <c r="E927" i="12"/>
  <c r="E933" i="12"/>
  <c r="E939" i="12"/>
  <c r="E945" i="12"/>
  <c r="E951" i="12"/>
  <c r="E960" i="12"/>
  <c r="C997" i="12"/>
  <c r="E997" i="12" s="1"/>
  <c r="E684" i="12"/>
  <c r="E696" i="12"/>
  <c r="E708" i="12"/>
  <c r="E720" i="12"/>
  <c r="E732" i="12"/>
  <c r="E744" i="12"/>
  <c r="E756" i="12"/>
  <c r="E768" i="12"/>
  <c r="E780" i="12"/>
  <c r="E792" i="12"/>
  <c r="E804" i="12"/>
  <c r="E816" i="12"/>
  <c r="E828" i="12"/>
  <c r="E840" i="12"/>
  <c r="E956" i="12"/>
  <c r="C973" i="12"/>
  <c r="E973" i="12" s="1"/>
  <c r="E826" i="12"/>
  <c r="E838" i="12"/>
  <c r="C848" i="12"/>
  <c r="E848" i="12" s="1"/>
  <c r="C854" i="12"/>
  <c r="E854" i="12" s="1"/>
  <c r="C860" i="12"/>
  <c r="E860" i="12" s="1"/>
  <c r="C866" i="12"/>
  <c r="E866" i="12" s="1"/>
  <c r="C872" i="12"/>
  <c r="E872" i="12" s="1"/>
  <c r="C878" i="12"/>
  <c r="E878" i="12" s="1"/>
  <c r="C884" i="12"/>
  <c r="E884" i="12" s="1"/>
  <c r="C890" i="12"/>
  <c r="E890" i="12" s="1"/>
  <c r="C896" i="12"/>
  <c r="E896" i="12" s="1"/>
  <c r="C902" i="12"/>
  <c r="E902" i="12" s="1"/>
  <c r="C908" i="12"/>
  <c r="E908" i="12" s="1"/>
  <c r="C914" i="12"/>
  <c r="E914" i="12" s="1"/>
  <c r="C920" i="12"/>
  <c r="E920" i="12" s="1"/>
  <c r="C926" i="12"/>
  <c r="E926" i="12" s="1"/>
  <c r="C932" i="12"/>
  <c r="E932" i="12" s="1"/>
  <c r="C938" i="12"/>
  <c r="E938" i="12" s="1"/>
  <c r="C944" i="12"/>
  <c r="E944" i="12" s="1"/>
  <c r="C950" i="12"/>
  <c r="E950" i="12" s="1"/>
  <c r="C985" i="12"/>
  <c r="E985" i="12" s="1"/>
  <c r="E702" i="12"/>
  <c r="E714" i="12"/>
  <c r="E726" i="12"/>
  <c r="E738" i="12"/>
  <c r="E750" i="12"/>
  <c r="E762" i="12"/>
  <c r="E774" i="12"/>
  <c r="E786" i="12"/>
  <c r="E798" i="12"/>
  <c r="E810" i="12"/>
  <c r="E822" i="12"/>
  <c r="E834" i="12"/>
  <c r="C846" i="12"/>
  <c r="E846" i="12" s="1"/>
  <c r="C852" i="12"/>
  <c r="E852" i="12" s="1"/>
  <c r="C858" i="12"/>
  <c r="E858" i="12" s="1"/>
  <c r="C864" i="12"/>
  <c r="E864" i="12" s="1"/>
  <c r="C870" i="12"/>
  <c r="E870" i="12" s="1"/>
  <c r="C876" i="12"/>
  <c r="E876" i="12" s="1"/>
  <c r="C882" i="12"/>
  <c r="E882" i="12" s="1"/>
  <c r="C888" i="12"/>
  <c r="E888" i="12" s="1"/>
  <c r="C894" i="12"/>
  <c r="E894" i="12" s="1"/>
  <c r="C900" i="12"/>
  <c r="E900" i="12" s="1"/>
  <c r="C906" i="12"/>
  <c r="E906" i="12" s="1"/>
  <c r="C912" i="12"/>
  <c r="E912" i="12" s="1"/>
  <c r="C918" i="12"/>
  <c r="E918" i="12" s="1"/>
  <c r="C924" i="12"/>
  <c r="E924" i="12" s="1"/>
  <c r="C930" i="12"/>
  <c r="E930" i="12" s="1"/>
  <c r="C936" i="12"/>
  <c r="E936" i="12" s="1"/>
  <c r="C942" i="12"/>
  <c r="E942" i="12" s="1"/>
  <c r="C948" i="12"/>
  <c r="E948" i="12" s="1"/>
  <c r="C954" i="12"/>
  <c r="E954" i="12" s="1"/>
  <c r="E999" i="12"/>
  <c r="D4" i="17"/>
  <c r="D5" i="17" s="1"/>
  <c r="D6" i="17" s="1"/>
  <c r="D7" i="17" s="1"/>
  <c r="D8" i="17" s="1"/>
  <c r="D9" i="17" s="1"/>
  <c r="D10" i="17" s="1"/>
  <c r="D11" i="17" s="1"/>
  <c r="D12" i="17" s="1"/>
  <c r="D13" i="17" s="1"/>
  <c r="D14" i="17" s="1"/>
  <c r="D15" i="17" s="1"/>
  <c r="D16" i="17" s="1"/>
  <c r="D17" i="17" s="1"/>
  <c r="D18" i="17" s="1"/>
  <c r="D19" i="17" s="1"/>
  <c r="D20" i="17" s="1"/>
  <c r="D21" i="17" s="1"/>
  <c r="D22" i="17" s="1"/>
  <c r="D23" i="17" s="1"/>
  <c r="D24" i="17" s="1"/>
  <c r="D25" i="17" s="1"/>
  <c r="D26" i="17" s="1"/>
  <c r="D27" i="17" s="1"/>
  <c r="D28" i="17" s="1"/>
  <c r="D29" i="17" s="1"/>
  <c r="D30" i="17" s="1"/>
  <c r="D31" i="17" s="1"/>
  <c r="D32" i="17" s="1"/>
  <c r="D33" i="17" s="1"/>
  <c r="D34" i="17" s="1"/>
  <c r="D35" i="17" s="1"/>
  <c r="D36" i="17" s="1"/>
  <c r="D37" i="17" s="1"/>
  <c r="D38" i="17" s="1"/>
  <c r="D39" i="17" s="1"/>
  <c r="D40" i="17" s="1"/>
  <c r="D41" i="17" s="1"/>
  <c r="D42" i="17" s="1"/>
  <c r="D43" i="17" s="1"/>
  <c r="D44" i="17" s="1"/>
  <c r="D45" i="17" s="1"/>
  <c r="D46" i="17" s="1"/>
  <c r="D47" i="17" s="1"/>
  <c r="D48" i="17" s="1"/>
  <c r="D49" i="17" s="1"/>
  <c r="D50" i="17" s="1"/>
  <c r="D51" i="17" s="1"/>
  <c r="D52" i="17" s="1"/>
  <c r="D53" i="17" s="1"/>
  <c r="D54" i="17" s="1"/>
  <c r="D55" i="17" s="1"/>
  <c r="D56" i="17" s="1"/>
  <c r="D57" i="17" s="1"/>
  <c r="D58" i="17" s="1"/>
  <c r="D59" i="17" s="1"/>
  <c r="D60" i="17" s="1"/>
  <c r="D61" i="17" s="1"/>
  <c r="D62" i="17" s="1"/>
  <c r="D63" i="17" s="1"/>
  <c r="D64" i="17" s="1"/>
  <c r="D65" i="17" s="1"/>
  <c r="D66" i="17" s="1"/>
  <c r="D67" i="17" s="1"/>
  <c r="D68" i="17" s="1"/>
  <c r="D69" i="17" s="1"/>
  <c r="D70" i="17" s="1"/>
  <c r="D71" i="17" s="1"/>
  <c r="D72" i="17" s="1"/>
  <c r="D73" i="17" s="1"/>
  <c r="D74" i="17" s="1"/>
  <c r="D75" i="17" s="1"/>
  <c r="D76" i="17" s="1"/>
  <c r="D77" i="17" s="1"/>
  <c r="D78" i="17" s="1"/>
  <c r="D79" i="17" s="1"/>
  <c r="D80" i="17" s="1"/>
  <c r="D81" i="17" s="1"/>
  <c r="D82" i="17" s="1"/>
  <c r="D83" i="17" s="1"/>
  <c r="D84" i="17" s="1"/>
  <c r="D85" i="17" s="1"/>
  <c r="D86" i="17" s="1"/>
  <c r="D87" i="17" s="1"/>
  <c r="D88" i="17" s="1"/>
  <c r="D89" i="17" s="1"/>
  <c r="D90" i="17" s="1"/>
  <c r="D91" i="17" s="1"/>
  <c r="D92" i="17" s="1"/>
  <c r="D93" i="17" s="1"/>
  <c r="D94" i="17" s="1"/>
  <c r="D95" i="17" s="1"/>
  <c r="D96" i="17" s="1"/>
  <c r="D97" i="17" s="1"/>
  <c r="D98" i="17" s="1"/>
  <c r="D99" i="17" s="1"/>
  <c r="D100" i="17" s="1"/>
  <c r="D101" i="17" s="1"/>
  <c r="D102" i="17" s="1"/>
  <c r="D103" i="17" s="1"/>
  <c r="D104" i="17" s="1"/>
  <c r="D105" i="17" s="1"/>
  <c r="D106" i="17" s="1"/>
  <c r="D107" i="17" s="1"/>
  <c r="D108" i="17" s="1"/>
  <c r="D109" i="17" s="1"/>
  <c r="D110" i="17" s="1"/>
  <c r="D111" i="17" s="1"/>
  <c r="D112" i="17" s="1"/>
  <c r="D113" i="17" s="1"/>
  <c r="D114" i="17" s="1"/>
  <c r="D115" i="17" s="1"/>
  <c r="D116" i="17" s="1"/>
  <c r="D117" i="17" s="1"/>
  <c r="D118" i="17" s="1"/>
  <c r="D119" i="17" s="1"/>
  <c r="D120" i="17" s="1"/>
  <c r="D121" i="17" s="1"/>
  <c r="D122" i="17" s="1"/>
  <c r="D123" i="17" s="1"/>
  <c r="D124" i="17" s="1"/>
  <c r="D125" i="17" s="1"/>
  <c r="D126" i="17" s="1"/>
  <c r="D127" i="17" s="1"/>
  <c r="D128" i="17" s="1"/>
  <c r="D129" i="17" s="1"/>
  <c r="D130" i="17" s="1"/>
  <c r="D131" i="17" s="1"/>
  <c r="D132" i="17" s="1"/>
  <c r="D133" i="17" s="1"/>
  <c r="D134" i="17" s="1"/>
  <c r="D135" i="17" s="1"/>
  <c r="D136" i="17" s="1"/>
  <c r="D137" i="17" s="1"/>
  <c r="D138" i="17" s="1"/>
  <c r="D139" i="17" s="1"/>
  <c r="D140" i="17" s="1"/>
  <c r="D141" i="17" s="1"/>
  <c r="D142" i="17" s="1"/>
  <c r="D143" i="17" s="1"/>
  <c r="D144" i="17" s="1"/>
  <c r="D145" i="17" s="1"/>
  <c r="D146" i="17" s="1"/>
  <c r="D147" i="17" s="1"/>
  <c r="D148" i="17" s="1"/>
  <c r="D149" i="17" s="1"/>
  <c r="D150" i="17" s="1"/>
  <c r="D151" i="17" s="1"/>
  <c r="D152" i="17" s="1"/>
  <c r="D153" i="17" s="1"/>
  <c r="D154" i="17" s="1"/>
  <c r="D155" i="17" s="1"/>
  <c r="D156" i="17" s="1"/>
  <c r="D157" i="17" s="1"/>
  <c r="D158" i="17" s="1"/>
  <c r="D159" i="17" s="1"/>
  <c r="D160" i="17" s="1"/>
  <c r="D161" i="17" s="1"/>
  <c r="D162" i="17" s="1"/>
  <c r="D163" i="17" s="1"/>
  <c r="D164" i="17" s="1"/>
  <c r="D165" i="17" s="1"/>
  <c r="D166" i="17" s="1"/>
  <c r="D167" i="17" s="1"/>
  <c r="D168" i="17" s="1"/>
  <c r="D169" i="17" s="1"/>
  <c r="D170" i="17" s="1"/>
  <c r="D171" i="17" s="1"/>
  <c r="D172" i="17" s="1"/>
  <c r="D173" i="17" s="1"/>
  <c r="D174" i="17" s="1"/>
  <c r="D175" i="17" s="1"/>
  <c r="D176" i="17" s="1"/>
  <c r="D177" i="17" s="1"/>
  <c r="D178" i="17" s="1"/>
  <c r="D179" i="17" s="1"/>
  <c r="D180" i="17" s="1"/>
  <c r="D181" i="17" s="1"/>
  <c r="D182" i="17" s="1"/>
  <c r="D183" i="17" s="1"/>
  <c r="D184" i="17" s="1"/>
  <c r="D185" i="17" s="1"/>
  <c r="D186" i="17" s="1"/>
  <c r="D187" i="17" s="1"/>
  <c r="D188" i="17" s="1"/>
  <c r="D189" i="17" s="1"/>
  <c r="D190" i="17" s="1"/>
  <c r="D191" i="17" s="1"/>
  <c r="D192" i="17" s="1"/>
  <c r="D193" i="17" s="1"/>
  <c r="D194" i="17" s="1"/>
  <c r="D195" i="17" s="1"/>
  <c r="D196" i="17" s="1"/>
  <c r="D197" i="17" s="1"/>
  <c r="D198" i="17" s="1"/>
  <c r="D199" i="17" s="1"/>
  <c r="D200" i="17" s="1"/>
  <c r="D201" i="17" s="1"/>
  <c r="E959" i="12"/>
  <c r="E971" i="12"/>
  <c r="E983" i="12"/>
  <c r="E995" i="12"/>
  <c r="E4" i="54"/>
  <c r="E6" i="54"/>
  <c r="E2" i="54"/>
  <c r="D7" i="55"/>
  <c r="B4" i="70" l="1"/>
  <c r="B5" i="70" s="1"/>
</calcChain>
</file>

<file path=xl/sharedStrings.xml><?xml version="1.0" encoding="utf-8"?>
<sst xmlns="http://schemas.openxmlformats.org/spreadsheetml/2006/main" count="2924" uniqueCount="721">
  <si>
    <t>Source File</t>
  </si>
  <si>
    <t>Sheet</t>
  </si>
  <si>
    <t>Cell</t>
  </si>
  <si>
    <t>Formula / Logic</t>
  </si>
  <si>
    <t>DYZEN_CAPITAL_OS_100_PERCENT_PDF_COMPLIANT.xlsx</t>
  </si>
  <si>
    <t>MASTER_DASHBOARD</t>
  </si>
  <si>
    <t>A1</t>
  </si>
  <si>
    <t>DYZEN CAPITAL OS — FULL INSTITUTIONAL HARDENED VERSION</t>
  </si>
  <si>
    <t>A4</t>
  </si>
  <si>
    <t>Global Exposure Cap %</t>
  </si>
  <si>
    <t>A6</t>
  </si>
  <si>
    <t>Free Capital</t>
  </si>
  <si>
    <t>A8</t>
  </si>
  <si>
    <t>Current Drawdown %</t>
  </si>
  <si>
    <t>CORRELATION_MATRIX</t>
  </si>
  <si>
    <t>A7</t>
  </si>
  <si>
    <t>Cluster Risk Factor</t>
  </si>
  <si>
    <t>DRAWDOWN_ENGINE</t>
  </si>
  <si>
    <t>Defensive Threshold</t>
  </si>
  <si>
    <t>A2</t>
  </si>
  <si>
    <t>Critical Threshold</t>
  </si>
  <si>
    <t>Current DD</t>
  </si>
  <si>
    <t>Risk Mode</t>
  </si>
  <si>
    <t>REGIME_ENGINE</t>
  </si>
  <si>
    <t>Regime</t>
  </si>
  <si>
    <t>A9</t>
  </si>
  <si>
    <t>Regime Multiplier</t>
  </si>
  <si>
    <t>EXECUTION_TICKET</t>
  </si>
  <si>
    <t>Regime Adjusted Size</t>
  </si>
  <si>
    <t>B4</t>
  </si>
  <si>
    <t>A5</t>
  </si>
  <si>
    <t>Drawdown Adjusted Size</t>
  </si>
  <si>
    <t>B5</t>
  </si>
  <si>
    <t>B7</t>
  </si>
  <si>
    <t>Open Risk Check</t>
  </si>
  <si>
    <t>B9</t>
  </si>
  <si>
    <t>GOVERNANCE_LOG</t>
  </si>
  <si>
    <t>C1</t>
  </si>
  <si>
    <t>D1</t>
  </si>
  <si>
    <t>H1</t>
  </si>
  <si>
    <t>Open Risk Status</t>
  </si>
  <si>
    <t>C2</t>
  </si>
  <si>
    <t>D2</t>
  </si>
  <si>
    <t>H2</t>
  </si>
  <si>
    <t>OPEN_RISK_ENGINE</t>
  </si>
  <si>
    <t>OPEN RISK ENGINE — Portfolio Level Control</t>
  </si>
  <si>
    <t>A3</t>
  </si>
  <si>
    <t>Per Trade Risk %</t>
  </si>
  <si>
    <t>Current Open Risk %</t>
  </si>
  <si>
    <t>Max Allowed Open Risk %</t>
  </si>
  <si>
    <t>MAX_LOSS_ENGINE</t>
  </si>
  <si>
    <t>DYZEN_CAPITAL_OS_3.0_RISK_CENTRIC.xlsx</t>
  </si>
  <si>
    <t>INPUTS</t>
  </si>
  <si>
    <t>Capital</t>
  </si>
  <si>
    <t>B1</t>
  </si>
  <si>
    <t>Risk Appetite</t>
  </si>
  <si>
    <t>RISK_ENGINE</t>
  </si>
  <si>
    <t>Base_Risk</t>
  </si>
  <si>
    <t>G1</t>
  </si>
  <si>
    <t>REGIME_OUTPUT</t>
  </si>
  <si>
    <t>VOL_ADAPTATION</t>
  </si>
  <si>
    <t>STRUCTURE_ENGINE</t>
  </si>
  <si>
    <t>B2</t>
  </si>
  <si>
    <t>BEAR_STRUCTURE</t>
  </si>
  <si>
    <t>SELL_PROFILE_FIXED</t>
  </si>
  <si>
    <t>SELL_CONF</t>
  </si>
  <si>
    <t>SELL_ALLOWED_FINAL</t>
  </si>
  <si>
    <t>JOURNAL</t>
  </si>
  <si>
    <t>RISK_CORE</t>
  </si>
  <si>
    <t>Base_Risk_%</t>
  </si>
  <si>
    <t>Regime_Multiplier</t>
  </si>
  <si>
    <t>E1</t>
  </si>
  <si>
    <t>Drawdown_Adjustment</t>
  </si>
  <si>
    <t>Risk_State</t>
  </si>
  <si>
    <t>E2</t>
  </si>
  <si>
    <t>EXIT_DISCIPLINE</t>
  </si>
  <si>
    <t>Risk_Warning</t>
  </si>
  <si>
    <t>DYZEN_CAPITAL_OS_3.0_MASTER.xlsx</t>
  </si>
  <si>
    <t>README</t>
  </si>
  <si>
    <t>DYZEN CAPITAL OS 3.0 - UNIFIED BRAIN SYSTEM</t>
  </si>
  <si>
    <t>LIQUIDITY_MAP</t>
  </si>
  <si>
    <t>RISK_ENGINE_2</t>
  </si>
  <si>
    <t>PSYCHO</t>
  </si>
  <si>
    <t>Confidence</t>
  </si>
  <si>
    <t>SELL_PROFILE</t>
  </si>
  <si>
    <t>BUY_CONFIDENCE_MIN</t>
  </si>
  <si>
    <t>SELL_CONFIDENCE_MIN</t>
  </si>
  <si>
    <t>DASHBOARD</t>
  </si>
  <si>
    <t>Current Regime</t>
  </si>
  <si>
    <t>DYZEN_Capital_OS_PilotFund_FILLED_EXAMPLE (1).xlsx</t>
  </si>
  <si>
    <t>B6</t>
  </si>
  <si>
    <t>3) Use 'ROUND_SIMULATOR' to see how valuation can evolve across Seed → A → B → C as risk decreases.</t>
  </si>
  <si>
    <t>• This model is a structured decision engine: it blends Exit potential, Dominance, Execution, Risk, and Required Return.</t>
  </si>
  <si>
    <t>B10</t>
  </si>
  <si>
    <t>• All weights and stage multiples are editable. Default weights are opinionated but reasonable starting points.</t>
  </si>
  <si>
    <t>B11</t>
  </si>
  <si>
    <t>• The model produces a range and scenario-weighted expected values; it is not a single 'true' price.</t>
  </si>
  <si>
    <t>PILOT_FUND_DASHBOARD</t>
  </si>
  <si>
    <t>DYZEN CAPITAL OS — PILOT FUND DASHBOARD</t>
  </si>
  <si>
    <t>Total Capital</t>
  </si>
  <si>
    <t>C9</t>
  </si>
  <si>
    <t>Risk</t>
  </si>
  <si>
    <t>C10</t>
  </si>
  <si>
    <t>G14</t>
  </si>
  <si>
    <t>A27</t>
  </si>
  <si>
    <t>Write investor-facing notes here (monthly updates, risk events, allocation decisions).</t>
  </si>
  <si>
    <t>TREASURY_CORE</t>
  </si>
  <si>
    <t>DYZEN CAPITAL OS — TREASURY_CORE</t>
  </si>
  <si>
    <t>Total Capital (USD)</t>
  </si>
  <si>
    <t>A12</t>
  </si>
  <si>
    <t>Allocated Capital (USD)</t>
  </si>
  <si>
    <t>PORTFOLIO_CORE</t>
  </si>
  <si>
    <t>DYZEN CAPITAL OS — PORTFOLIO_CORE</t>
  </si>
  <si>
    <t>Portfolio Table (add startups here)</t>
  </si>
  <si>
    <t>K5</t>
  </si>
  <si>
    <t>Risk (0-100)</t>
  </si>
  <si>
    <t>M6</t>
  </si>
  <si>
    <t>N6</t>
  </si>
  <si>
    <t>M7</t>
  </si>
  <si>
    <t>N7</t>
  </si>
  <si>
    <t>M8</t>
  </si>
  <si>
    <t>N8</t>
  </si>
  <si>
    <t>M9</t>
  </si>
  <si>
    <t>N9</t>
  </si>
  <si>
    <t>M10</t>
  </si>
  <si>
    <t>N10</t>
  </si>
  <si>
    <t>M11</t>
  </si>
  <si>
    <t>N11</t>
  </si>
  <si>
    <t>M12</t>
  </si>
  <si>
    <t>N12</t>
  </si>
  <si>
    <t>M13</t>
  </si>
  <si>
    <t>N13</t>
  </si>
  <si>
    <t>M14</t>
  </si>
  <si>
    <t>N14</t>
  </si>
  <si>
    <t>M15</t>
  </si>
  <si>
    <t>N15</t>
  </si>
  <si>
    <t>M16</t>
  </si>
  <si>
    <t>N16</t>
  </si>
  <si>
    <t>M17</t>
  </si>
  <si>
    <t>N17</t>
  </si>
  <si>
    <t>M18</t>
  </si>
  <si>
    <t>N18</t>
  </si>
  <si>
    <t>M19</t>
  </si>
  <si>
    <t>N19</t>
  </si>
  <si>
    <t>M20</t>
  </si>
  <si>
    <t>N20</t>
  </si>
  <si>
    <t>M21</t>
  </si>
  <si>
    <t>N21</t>
  </si>
  <si>
    <t>M22</t>
  </si>
  <si>
    <t>N22</t>
  </si>
  <si>
    <t>M23</t>
  </si>
  <si>
    <t>N23</t>
  </si>
  <si>
    <t>M24</t>
  </si>
  <si>
    <t>N24</t>
  </si>
  <si>
    <t>M25</t>
  </si>
  <si>
    <t>N25</t>
  </si>
  <si>
    <t>DYZEN CAPITAL OS — RISK_ENGINE</t>
  </si>
  <si>
    <t>Max exposure per startup (% of Total Capital)</t>
  </si>
  <si>
    <t>Freeze if Risk Score &gt;=</t>
  </si>
  <si>
    <t>A18</t>
  </si>
  <si>
    <t>Risk Status</t>
  </si>
  <si>
    <t>Total Addressable Market (annual spend)</t>
  </si>
  <si>
    <t>F21</t>
  </si>
  <si>
    <t>Risk drivers</t>
  </si>
  <si>
    <t>F22</t>
  </si>
  <si>
    <t>Market risk</t>
  </si>
  <si>
    <t>F23</t>
  </si>
  <si>
    <t>Tech risk</t>
  </si>
  <si>
    <t>F24</t>
  </si>
  <si>
    <t>Competition risk</t>
  </si>
  <si>
    <t>F25</t>
  </si>
  <si>
    <t>Regulatory risk</t>
  </si>
  <si>
    <t>D26</t>
  </si>
  <si>
    <t>Capital efficiency</t>
  </si>
  <si>
    <t>F26</t>
  </si>
  <si>
    <t>Financing risk</t>
  </si>
  <si>
    <t>F27</t>
  </si>
  <si>
    <t>Follow-on signaling risk</t>
  </si>
  <si>
    <t>A33</t>
  </si>
  <si>
    <t>Risk scaling (0–5)</t>
  </si>
  <si>
    <t>C33</t>
  </si>
  <si>
    <t>Scales risk factor: RiskFactor = 1 + RiskIndex*Scaling</t>
  </si>
  <si>
    <t>EXIT_ENGINE</t>
  </si>
  <si>
    <t>EXIT ENGINE (Venture Capital Method inputs)</t>
  </si>
  <si>
    <t>Expected Exit (scenario-weighted)</t>
  </si>
  <si>
    <t>C28</t>
  </si>
  <si>
    <t>Scenario-weighted expected value</t>
  </si>
  <si>
    <t>DOMINANCE_ENGINE</t>
  </si>
  <si>
    <t>C4</t>
  </si>
  <si>
    <t>Weight</t>
  </si>
  <si>
    <t>A14</t>
  </si>
  <si>
    <t>Weighted Dominance Score (0–100)</t>
  </si>
  <si>
    <t>EXECUTION_ENGINE</t>
  </si>
  <si>
    <t>A13</t>
  </si>
  <si>
    <t>Weighted Execution Score (0–100)</t>
  </si>
  <si>
    <t>VALUATION</t>
  </si>
  <si>
    <t>A16</t>
  </si>
  <si>
    <t>Risk factor (&gt;=1)</t>
  </si>
  <si>
    <t>B16</t>
  </si>
  <si>
    <t>ROUND_SIMULATOR</t>
  </si>
  <si>
    <t>D4</t>
  </si>
  <si>
    <t>Risk multiplier</t>
  </si>
  <si>
    <t>F5</t>
  </si>
  <si>
    <t>F6</t>
  </si>
  <si>
    <t>F7</t>
  </si>
  <si>
    <t>F8</t>
  </si>
  <si>
    <t>METHOD_MAPPING</t>
  </si>
  <si>
    <t>Sequoia Capital — Valuation Methods Stack (where each method lives in this workbook)</t>
  </si>
  <si>
    <t>Venture Capital Method (Exit-based)</t>
  </si>
  <si>
    <t>Base exit = TAM × share × multiple; scenario-weighted expected exit</t>
  </si>
  <si>
    <t>C6</t>
  </si>
  <si>
    <t>Framed via fund-returner threshold; extendable with probabilities</t>
  </si>
  <si>
    <t>Scenario-weighted exit modeling (Best/Base/Failure)</t>
  </si>
  <si>
    <t>Capital efficiency analysis</t>
  </si>
  <si>
    <t>C13</t>
  </si>
  <si>
    <t>Input: Capital efficiency score (0–100); tie to burn multiple if you add data</t>
  </si>
  <si>
    <t>A17</t>
  </si>
  <si>
    <t>Follow-on round signaling risk</t>
  </si>
  <si>
    <t>B17</t>
  </si>
  <si>
    <t>C17</t>
  </si>
  <si>
    <t>Input: Signaling risk (0–100)</t>
  </si>
  <si>
    <t>Example_Company_Filled</t>
  </si>
  <si>
    <t>Market Cap ($B)</t>
  </si>
  <si>
    <t>A10</t>
  </si>
  <si>
    <t>Risk Score (0-1)</t>
  </si>
  <si>
    <t>INSTRUCTIONS</t>
  </si>
  <si>
    <t>DYZEN Capital OS – How to Fill the File</t>
  </si>
  <si>
    <t>• Market Cap ($B)</t>
  </si>
  <si>
    <t>• Risk Score – calculated from Debt/Equity</t>
  </si>
  <si>
    <t>A21</t>
  </si>
  <si>
    <t>Risk decreases when Debt/Equity &lt; 1</t>
  </si>
  <si>
    <t>DYZEN_STRUCTURAL_TREND_HUNTER_V1.xlsx</t>
  </si>
  <si>
    <t>DYZEN CAPITAL OS</t>
  </si>
  <si>
    <t>Private Decision Engine for Capital, Risk &amp; Trading Intelligence</t>
  </si>
  <si>
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</si>
  <si>
    <t>MARKET</t>
  </si>
  <si>
    <t>Regime Score</t>
  </si>
  <si>
    <t>Regime OK</t>
  </si>
  <si>
    <t>SETUP</t>
  </si>
  <si>
    <t>Risk : Reward Ratio</t>
  </si>
  <si>
    <t>Late Entry Risk</t>
  </si>
  <si>
    <t>Confidence Level (0–10)</t>
  </si>
  <si>
    <t>Overconfidence Risk (LOW/MED/HIGH)</t>
  </si>
  <si>
    <t>A11</t>
  </si>
  <si>
    <t>Revenge Trading Risk (YES/NO)</t>
  </si>
  <si>
    <t>Psychology Risk Flag</t>
  </si>
  <si>
    <t>Stability Threshold</t>
  </si>
  <si>
    <t>ZONE A — CAPITAL INPUTS (INPUT)</t>
  </si>
  <si>
    <t>Base Risk %</t>
  </si>
  <si>
    <t>Max Risk % per Day</t>
  </si>
  <si>
    <t>Max Risk % per Week</t>
  </si>
  <si>
    <t>Risk Appetite (LOW/MED/HIGH)</t>
  </si>
  <si>
    <t>ZONE B — PERFORMANCE &amp; DRAWDOWN STATES (DERIVED)</t>
  </si>
  <si>
    <t>Peak-to-Trough Drawdown %</t>
  </si>
  <si>
    <t>A15</t>
  </si>
  <si>
    <t>ZONE C — RISK GOVERNORS (LOGIC)</t>
  </si>
  <si>
    <t>Drawdown State (NORMAL/WARNING/LOCKDOWN)</t>
  </si>
  <si>
    <t>Risk Scaling Factor</t>
  </si>
  <si>
    <t>A19</t>
  </si>
  <si>
    <t>Capital Survival Score (0–100)</t>
  </si>
  <si>
    <t>ZONE D — RISK PERMISSION OUTPUT (DECISION)</t>
  </si>
  <si>
    <t>A24</t>
  </si>
  <si>
    <t>Risk Block Reason</t>
  </si>
  <si>
    <t>SIGNAL_OUTBOX</t>
  </si>
  <si>
    <t>F2</t>
  </si>
  <si>
    <t>SELL</t>
  </si>
  <si>
    <t>G2</t>
  </si>
  <si>
    <t>Verdict Confidence Level</t>
  </si>
  <si>
    <t>Confidence Check</t>
  </si>
  <si>
    <t>PERMISSION_BUS</t>
  </si>
  <si>
    <t>Market Regime OK</t>
  </si>
  <si>
    <t>Risk Engine OK</t>
  </si>
  <si>
    <t>CONFIDENCE_MIN</t>
  </si>
  <si>
    <t>SELL-ს ნაკლები სიზუსტე სჭირდება</t>
  </si>
  <si>
    <t>D3</t>
  </si>
  <si>
    <t>SELL უფრო გვიანაც დაიშვება</t>
  </si>
  <si>
    <t>SELL იღებს თხელ წიგნსაც</t>
  </si>
  <si>
    <t>RISK_STRICTNESS</t>
  </si>
  <si>
    <t>D5</t>
  </si>
  <si>
    <t>SELL = damage control</t>
  </si>
  <si>
    <t>D6</t>
  </si>
  <si>
    <t>SELL არ ეძებს პიკს</t>
  </si>
  <si>
    <t>URGENCY_WEIGHT</t>
  </si>
  <si>
    <t>D7</t>
  </si>
  <si>
    <t>SELL რეაგირებს სწრაფად</t>
  </si>
  <si>
    <t>SELL_CONFIDENCE</t>
  </si>
  <si>
    <t>SELL_CONFIDENCE_OK</t>
  </si>
  <si>
    <t>SELL_RISK_STATE_OK</t>
  </si>
  <si>
    <t>SELL_STREAK_OK</t>
  </si>
  <si>
    <t>PARTIAL_SELL_PCT</t>
  </si>
  <si>
    <t>SELL_ALLOWED</t>
  </si>
  <si>
    <t>I1</t>
  </si>
  <si>
    <t>PRESELL_TRIGGER</t>
  </si>
  <si>
    <t>J1</t>
  </si>
  <si>
    <t>PRESELL_PCT</t>
  </si>
  <si>
    <t>L1</t>
  </si>
  <si>
    <t>EMERGENCY_SELL_PCT</t>
  </si>
  <si>
    <t>M1</t>
  </si>
  <si>
    <t>SELL_ACTION</t>
  </si>
  <si>
    <t>N1</t>
  </si>
  <si>
    <t>SELL_PCT_FINAL</t>
  </si>
  <si>
    <t>P1</t>
  </si>
  <si>
    <t>SELL_FEE_PCT</t>
  </si>
  <si>
    <t>U1</t>
  </si>
  <si>
    <t>K2</t>
  </si>
  <si>
    <t>SELL_PARTIAL_RUNNER</t>
  </si>
  <si>
    <t>PARTIAL_SELL_ALLOWED</t>
  </si>
  <si>
    <t>RUNNER_SELL_ALLOWED</t>
  </si>
  <si>
    <t>B8</t>
  </si>
  <si>
    <t>SELL_CONFIDENCE_LAYER</t>
  </si>
  <si>
    <t>SELL_FINAL_WRAPPER</t>
  </si>
  <si>
    <t>SELL_ALLOWED_DEEP</t>
  </si>
  <si>
    <t>B3</t>
  </si>
  <si>
    <t>Deep pass – high confidence exit only</t>
  </si>
  <si>
    <t>RISK_PER_TRADE</t>
  </si>
  <si>
    <t>3# SELL_LIVE_PROFIT_GATED_V3_PATCHED.xlsx</t>
  </si>
  <si>
    <t>U2</t>
  </si>
  <si>
    <t>2# SELL_LIVE_PROFIT_GATED_V3_DEEP_PASS.xlsx</t>
  </si>
  <si>
    <t>SELL_LIVE_PROFIT_GATED_V2_PARTIAL_RUNNER.xlsx</t>
  </si>
  <si>
    <t>SELL_LIVE_PROFIT_GATED.xlsx</t>
  </si>
  <si>
    <t>SELL_LIVE_FIXED.xlsx</t>
  </si>
  <si>
    <t>DYZEN_Capital_OS_Pro (6)_SELL_AB_LIVE_READY (1).xlsx</t>
  </si>
  <si>
    <t>Version</t>
  </si>
  <si>
    <t>Core Logic</t>
  </si>
  <si>
    <t>Key Filter</t>
  </si>
  <si>
    <t>Risk Behavior</t>
  </si>
  <si>
    <t>Improvement</t>
  </si>
  <si>
    <t>V2_PARTIAL_RUNNER</t>
  </si>
  <si>
    <t>Profit Gate + 30% Partial</t>
  </si>
  <si>
    <t>Min R threshold</t>
  </si>
  <si>
    <t>Keeps runner exposure</t>
  </si>
  <si>
    <t>Introduced partial scaling logic</t>
  </si>
  <si>
    <t>V3_PROFIT_GATED</t>
  </si>
  <si>
    <t>Strict Min R before SELL</t>
  </si>
  <si>
    <t>Profit Gate enforced</t>
  </si>
  <si>
    <t>Reduces early exits</t>
  </si>
  <si>
    <t>Stronger profit validation</t>
  </si>
  <si>
    <t>DEEP_PASS</t>
  </si>
  <si>
    <t>Multi-layer consensus</t>
  </si>
  <si>
    <t>Structure+Volume+Risk aligned</t>
  </si>
  <si>
    <t>Institutional filtering</t>
  </si>
  <si>
    <t>Full confirmation gating</t>
  </si>
  <si>
    <t>PATCHED</t>
  </si>
  <si>
    <t>Confidence ≥0.64 + Structure Required</t>
  </si>
  <si>
    <t>SELL_CONFIDENCE_MIN raised</t>
  </si>
  <si>
    <t>Noise suppression</t>
  </si>
  <si>
    <t>Fix permissive SELL issue</t>
  </si>
  <si>
    <t>AB_READY</t>
  </si>
  <si>
    <t>Conservative vs Aggressive profiles</t>
  </si>
  <si>
    <t>Live performance comparison</t>
  </si>
  <si>
    <t>Adaptive tuning</t>
  </si>
  <si>
    <t>Profile optimization engine</t>
  </si>
  <si>
    <t>Component</t>
  </si>
  <si>
    <t>Normalized Weight</t>
  </si>
  <si>
    <t>Threshold</t>
  </si>
  <si>
    <t>Purpose</t>
  </si>
  <si>
    <t>Trend Strength</t>
  </si>
  <si>
    <t>≥0.60</t>
  </si>
  <si>
    <t>Macro bias filter</t>
  </si>
  <si>
    <t>Structure Validation</t>
  </si>
  <si>
    <t>TRUE required</t>
  </si>
  <si>
    <t>Market structure confirmation</t>
  </si>
  <si>
    <t>Volume Confirmation</t>
  </si>
  <si>
    <t>≥0.50</t>
  </si>
  <si>
    <t>Liquidity validation</t>
  </si>
  <si>
    <t>Risk State Modifier</t>
  </si>
  <si>
    <t>State != KILL</t>
  </si>
  <si>
    <t>Capital protection override</t>
  </si>
  <si>
    <t>Confidence Score</t>
  </si>
  <si>
    <t>≥0.64</t>
  </si>
  <si>
    <t>Primary SELL gate</t>
  </si>
  <si>
    <t>Volatility Regime</t>
  </si>
  <si>
    <t>Allowed band only</t>
  </si>
  <si>
    <t>Avoid extreme volatility regimes</t>
  </si>
  <si>
    <t>Priority</t>
  </si>
  <si>
    <t>Rule</t>
  </si>
  <si>
    <t>Override Effect</t>
  </si>
  <si>
    <t>KILL_STATE</t>
  </si>
  <si>
    <t>Stops all trading immediately</t>
  </si>
  <si>
    <t>Exposure_Cap_Breach</t>
  </si>
  <si>
    <t>Blocks new entries</t>
  </si>
  <si>
    <t>Structure_Invalid</t>
  </si>
  <si>
    <t>Blocks SELL execution</t>
  </si>
  <si>
    <t>Confidence &lt; 0.64</t>
  </si>
  <si>
    <t>Blocks SELL</t>
  </si>
  <si>
    <t>Profit_Gate_Not_Met</t>
  </si>
  <si>
    <t>Trend_Weak</t>
  </si>
  <si>
    <t>Reduces position size only</t>
  </si>
  <si>
    <t>Metric</t>
  </si>
  <si>
    <t>Input</t>
  </si>
  <si>
    <t>Weighted Score</t>
  </si>
  <si>
    <t>Structure Score</t>
  </si>
  <si>
    <t>Volume Score</t>
  </si>
  <si>
    <t>Risk Modifier</t>
  </si>
  <si>
    <t>Volatility Score</t>
  </si>
  <si>
    <t>TOTAL_SCORE</t>
  </si>
  <si>
    <t>Trade #</t>
  </si>
  <si>
    <t>Entry</t>
  </si>
  <si>
    <t>Exit</t>
  </si>
  <si>
    <t>R Multiple</t>
  </si>
  <si>
    <t>Position Size</t>
  </si>
  <si>
    <t>PnL</t>
  </si>
  <si>
    <t>Equity</t>
  </si>
  <si>
    <t>Simulation #</t>
  </si>
  <si>
    <t>Win Rate</t>
  </si>
  <si>
    <t>Avg R</t>
  </si>
  <si>
    <t>Risk %</t>
  </si>
  <si>
    <t>Expected Return</t>
  </si>
  <si>
    <t>ATR</t>
  </si>
  <si>
    <t>ATR Moving Avg</t>
  </si>
  <si>
    <t>Volatility Ratio</t>
  </si>
  <si>
    <t>Current Equity</t>
  </si>
  <si>
    <t>Peak Equity</t>
  </si>
  <si>
    <t>Drawdown %</t>
  </si>
  <si>
    <t>Adjusted Risk %</t>
  </si>
  <si>
    <t>Open Trades</t>
  </si>
  <si>
    <t>Max Allowed</t>
  </si>
  <si>
    <t>Cluster Status</t>
  </si>
  <si>
    <t>Current Value</t>
  </si>
  <si>
    <t>Target</t>
  </si>
  <si>
    <t>Adjustment Factor</t>
  </si>
  <si>
    <t>Iteration</t>
  </si>
  <si>
    <t>Random Win/Loss</t>
  </si>
  <si>
    <t>Return</t>
  </si>
  <si>
    <t>Trend Weight</t>
  </si>
  <si>
    <t>Structure Weight</t>
  </si>
  <si>
    <t>Volatility Weight</t>
  </si>
  <si>
    <t>HIGH</t>
  </si>
  <si>
    <t>NORMAL</t>
  </si>
  <si>
    <t>LOW</t>
  </si>
  <si>
    <t>Recent Equity</t>
  </si>
  <si>
    <t>Previous Equity</t>
  </si>
  <si>
    <t>Slope</t>
  </si>
  <si>
    <t>Trend Status</t>
  </si>
  <si>
    <t>Asset 1 Return</t>
  </si>
  <si>
    <t>Asset 2 Return</t>
  </si>
  <si>
    <t>Correlation</t>
  </si>
  <si>
    <t>Trade Allowed</t>
  </si>
  <si>
    <t>Asset</t>
  </si>
  <si>
    <t>Signal Score</t>
  </si>
  <si>
    <t>Allocated %</t>
  </si>
  <si>
    <t>Capital Allocation</t>
  </si>
  <si>
    <t>BTC</t>
  </si>
  <si>
    <t>ETH</t>
  </si>
  <si>
    <t>SOL</t>
  </si>
  <si>
    <t>BNB</t>
  </si>
  <si>
    <t>XRP</t>
  </si>
  <si>
    <t>Step</t>
  </si>
  <si>
    <t>Random Outcome</t>
  </si>
  <si>
    <t>Return %</t>
  </si>
  <si>
    <t>Cumulative Equity</t>
  </si>
  <si>
    <t>Win Rate (p)</t>
  </si>
  <si>
    <t>Reward/Risk (b)</t>
  </si>
  <si>
    <t>Kelly Fraction</t>
  </si>
  <si>
    <t>Observed Frequency</t>
  </si>
  <si>
    <t>Probability</t>
  </si>
  <si>
    <t>Weight Multiplier</t>
  </si>
  <si>
    <t>Factor</t>
  </si>
  <si>
    <t>Prior Weight</t>
  </si>
  <si>
    <t>Likelihood</t>
  </si>
  <si>
    <t>Posterior Weight</t>
  </si>
  <si>
    <t>Trend</t>
  </si>
  <si>
    <t>Structure</t>
  </si>
  <si>
    <t>Volume</t>
  </si>
  <si>
    <t>Volatility</t>
  </si>
  <si>
    <t>Prev Regime</t>
  </si>
  <si>
    <t>Transition Prob</t>
  </si>
  <si>
    <t>Observed Signal</t>
  </si>
  <si>
    <t>Next Regime Prob</t>
  </si>
  <si>
    <t>Phase</t>
  </si>
  <si>
    <t>ATR Series</t>
  </si>
  <si>
    <t>ATR StdDev</t>
  </si>
  <si>
    <t>Vol-of-Vol Ratio</t>
  </si>
  <si>
    <t>Filter Status</t>
  </si>
  <si>
    <t>Net Profit</t>
  </si>
  <si>
    <t>Time Period</t>
  </si>
  <si>
    <t>Capital Velocity</t>
  </si>
  <si>
    <t>Optimization Signal</t>
  </si>
  <si>
    <t>Current</t>
  </si>
  <si>
    <t>Adjustment Multiplier</t>
  </si>
  <si>
    <t>Profit Factor</t>
  </si>
  <si>
    <t>Max Drawdown</t>
  </si>
  <si>
    <t>Strategy</t>
  </si>
  <si>
    <t>Performance Score</t>
  </si>
  <si>
    <t>Capital %</t>
  </si>
  <si>
    <t>Allocated Capital</t>
  </si>
  <si>
    <t>Strategy_A</t>
  </si>
  <si>
    <t>Strategy_B</t>
  </si>
  <si>
    <t>Strategy_C</t>
  </si>
  <si>
    <t>Strategy_D</t>
  </si>
  <si>
    <t>Strategy_E</t>
  </si>
  <si>
    <t>Equity Slope</t>
  </si>
  <si>
    <t>Risk Base %</t>
  </si>
  <si>
    <t>Final Risk %</t>
  </si>
  <si>
    <t>Cycle #</t>
  </si>
  <si>
    <t>Weight Set ID</t>
  </si>
  <si>
    <t>Risk Level</t>
  </si>
  <si>
    <t>Capital Growth %</t>
  </si>
  <si>
    <t>Keep/Replace</t>
  </si>
  <si>
    <t>Strategy ID</t>
  </si>
  <si>
    <t>Weight Set</t>
  </si>
  <si>
    <t>Regime Mode</t>
  </si>
  <si>
    <t>Sharpe Proxy</t>
  </si>
  <si>
    <t>Composite Score</t>
  </si>
  <si>
    <t>STRAT_1</t>
  </si>
  <si>
    <t>STRAT_2</t>
  </si>
  <si>
    <t>STRAT_3</t>
  </si>
  <si>
    <t>STRAT_4</t>
  </si>
  <si>
    <t>STRAT_5</t>
  </si>
  <si>
    <t>Rank</t>
  </si>
  <si>
    <t>Status</t>
  </si>
  <si>
    <t>Score</t>
  </si>
  <si>
    <t>Allocation %</t>
  </si>
  <si>
    <t>Capital Assigned</t>
  </si>
  <si>
    <t>Value</t>
  </si>
  <si>
    <t>Total Fund Equity</t>
  </si>
  <si>
    <t>Best Strategy ID</t>
  </si>
  <si>
    <t>Worst Strategy ID</t>
  </si>
  <si>
    <t>Fund-Level Sharpe Proxy</t>
  </si>
  <si>
    <t>Fund Max Drawdown</t>
  </si>
  <si>
    <t>Parent Strategy</t>
  </si>
  <si>
    <t>Base Weight</t>
  </si>
  <si>
    <t>Mutation Factor</t>
  </si>
  <si>
    <t>Mutated Weight</t>
  </si>
  <si>
    <t>Parent A Score</t>
  </si>
  <si>
    <t>Parent B Score</t>
  </si>
  <si>
    <t>Offspring Weight</t>
  </si>
  <si>
    <t>Selection Bias</t>
  </si>
  <si>
    <t>Strategy A</t>
  </si>
  <si>
    <t>Strategy B</t>
  </si>
  <si>
    <t>Swap %</t>
  </si>
  <si>
    <t>Resulting Hybrid Score</t>
  </si>
  <si>
    <t>0.5</t>
  </si>
  <si>
    <t>Generation #</t>
  </si>
  <si>
    <t>Retained?</t>
  </si>
  <si>
    <t>Mutation Rate</t>
  </si>
  <si>
    <t>Selection Pressure</t>
  </si>
  <si>
    <t>Max Generations</t>
  </si>
  <si>
    <t>Evolution Active?</t>
  </si>
  <si>
    <t>TRUE</t>
  </si>
  <si>
    <t>TREND</t>
  </si>
  <si>
    <t>RANGE</t>
  </si>
  <si>
    <t>VOLATILE</t>
  </si>
  <si>
    <t>Asset A Return</t>
  </si>
  <si>
    <t>Asset B Return</t>
  </si>
  <si>
    <t>Allocation Adjustment</t>
  </si>
  <si>
    <t>Sector</t>
  </si>
  <si>
    <t>Volume Change %</t>
  </si>
  <si>
    <t>Momentum Score</t>
  </si>
  <si>
    <t>Capital Bias</t>
  </si>
  <si>
    <t>CRYPTO</t>
  </si>
  <si>
    <t>EQUITIES</t>
  </si>
  <si>
    <t>FOREX</t>
  </si>
  <si>
    <t>Fund ID</t>
  </si>
  <si>
    <t>Fund Score</t>
  </si>
  <si>
    <t>FUND_A</t>
  </si>
  <si>
    <t>FUND_B</t>
  </si>
  <si>
    <t>FUND_C</t>
  </si>
  <si>
    <t>FUND_D</t>
  </si>
  <si>
    <t>Liquidity Indicator 1</t>
  </si>
  <si>
    <t>Indicator 2</t>
  </si>
  <si>
    <t>Composite Liquidity Score</t>
  </si>
  <si>
    <t>Liquidity Regime</t>
  </si>
  <si>
    <t>Volatility Index</t>
  </si>
  <si>
    <t>Credit Spread</t>
  </si>
  <si>
    <t>Macro Risk Score</t>
  </si>
  <si>
    <t>Equity Change %</t>
  </si>
  <si>
    <t>Volatility Spike</t>
  </si>
  <si>
    <t>Shock Score</t>
  </si>
  <si>
    <t>Action</t>
  </si>
  <si>
    <t>Macro Risk Level</t>
  </si>
  <si>
    <t>Capital Mode</t>
  </si>
  <si>
    <t>Equity Regime</t>
  </si>
  <si>
    <t>Crypto Regime</t>
  </si>
  <si>
    <t>Macro Regime</t>
  </si>
  <si>
    <t>Synchronized State</t>
  </si>
  <si>
    <t>Shock Scenario</t>
  </si>
  <si>
    <t>Equity Impact %</t>
  </si>
  <si>
    <t>Volatility Multiplier</t>
  </si>
  <si>
    <t>Capital After Shock</t>
  </si>
  <si>
    <t>FLASH_CRASH</t>
  </si>
  <si>
    <t>LIQUIDITY_DRAIN</t>
  </si>
  <si>
    <t>MACRO_EVENT</t>
  </si>
  <si>
    <t>Source Market Shock</t>
  </si>
  <si>
    <t>Correlation Factor</t>
  </si>
  <si>
    <t>Propagated Impact %</t>
  </si>
  <si>
    <t>Adjusted Exposure</t>
  </si>
  <si>
    <t>Risk-Off Signal</t>
  </si>
  <si>
    <t>Capital Allocation Shift</t>
  </si>
  <si>
    <t>HIGH_RISK</t>
  </si>
  <si>
    <t>CONTRACTION</t>
  </si>
  <si>
    <t>Macro Risk</t>
  </si>
  <si>
    <t>Capital Flow Bias</t>
  </si>
  <si>
    <t>Cycle Phase</t>
  </si>
  <si>
    <t>Correlation Spike</t>
  </si>
  <si>
    <t>Drawdown Pressure</t>
  </si>
  <si>
    <t>Fragility Score</t>
  </si>
  <si>
    <t>Fragility Level</t>
  </si>
  <si>
    <t>Volume Drop %</t>
  </si>
  <si>
    <t>Spread Widening</t>
  </si>
  <si>
    <t>Vacuum Score</t>
  </si>
  <si>
    <t>Vacuum Alert</t>
  </si>
  <si>
    <t>Asset Class</t>
  </si>
  <si>
    <t>Risk Score</t>
  </si>
  <si>
    <t>Migration Weight</t>
  </si>
  <si>
    <t>BONDS</t>
  </si>
  <si>
    <t>CASH</t>
  </si>
  <si>
    <t>Signal Source</t>
  </si>
  <si>
    <t>Weighted Output</t>
  </si>
  <si>
    <t>Technical Engine</t>
  </si>
  <si>
    <t>Regime Intelligence</t>
  </si>
  <si>
    <t>Macro Layer</t>
  </si>
  <si>
    <t>Capital Flow</t>
  </si>
  <si>
    <t>Risk Engine</t>
  </si>
  <si>
    <t>FINAL_AI_SCORE</t>
  </si>
  <si>
    <t>Predicted Edge</t>
  </si>
  <si>
    <t>Actual Outcome</t>
  </si>
  <si>
    <t>Calibration Error</t>
  </si>
  <si>
    <t>Confidence Adjustment</t>
  </si>
  <si>
    <t>AI Score</t>
  </si>
  <si>
    <t>Final Risk Allocation</t>
  </si>
  <si>
    <t>Risk Allocation</t>
  </si>
  <si>
    <t>Reinforce?</t>
  </si>
  <si>
    <t>Global AI Score</t>
  </si>
  <si>
    <t>System Risk State</t>
  </si>
  <si>
    <t>Current Fragility</t>
  </si>
  <si>
    <t>Global Cycle Phase</t>
  </si>
  <si>
    <t>Shock Absorber</t>
  </si>
  <si>
    <t>Trade Permission</t>
  </si>
  <si>
    <t>Active?</t>
  </si>
  <si>
    <t>Active Strategy</t>
  </si>
  <si>
    <t>Macro Gate</t>
  </si>
  <si>
    <t>Final Trade Decision</t>
  </si>
  <si>
    <t>Adaptive Buy Gate</t>
  </si>
  <si>
    <t>Adaptive Size Mult</t>
  </si>
  <si>
    <t>Parameter</t>
  </si>
  <si>
    <t>Comment</t>
  </si>
  <si>
    <t>1.2% sweet spot</t>
  </si>
  <si>
    <t>HARD_RISK_CAP</t>
  </si>
  <si>
    <t>absolute max</t>
  </si>
  <si>
    <t>MAX_POSITION_CAP</t>
  </si>
  <si>
    <t>25% equity cap</t>
  </si>
  <si>
    <t>MAX_TRADES_PER_DAY</t>
  </si>
  <si>
    <t>overtrading shield</t>
  </si>
  <si>
    <t>MAX_CONCURRENT_TRADES</t>
  </si>
  <si>
    <t>correlation control</t>
  </si>
  <si>
    <t>AI_CONFIDENCE_BUY_MIN</t>
  </si>
  <si>
    <t>AI_CONFIDENCE_SELL_MIN</t>
  </si>
  <si>
    <t>AI_CONFIDENCE_STRONG</t>
  </si>
  <si>
    <t>TREND_SCORE_MIN</t>
  </si>
  <si>
    <t>VOLATILITY_STATE_BLOCK_LOW</t>
  </si>
  <si>
    <t>FALSE</t>
  </si>
  <si>
    <t>VOLUME_ZSCORE_MIN</t>
  </si>
  <si>
    <t>VWAP_REQUIRED</t>
  </si>
  <si>
    <t>HTF_CONFIRMATION</t>
  </si>
  <si>
    <t>PRO BOOST MTF filter</t>
  </si>
  <si>
    <t>HTF_TIMEFRAME</t>
  </si>
  <si>
    <t>1h</t>
  </si>
  <si>
    <t>Higher timeframe bias</t>
  </si>
  <si>
    <t>HTF_TREND_MIN</t>
  </si>
  <si>
    <t>HTF trend gate</t>
  </si>
  <si>
    <t>ELITE_ZONE</t>
  </si>
  <si>
    <t>High confidence zone</t>
  </si>
  <si>
    <t>VOL_EXPANSION_BONUS</t>
  </si>
  <si>
    <t>Volatility expansion filter</t>
  </si>
  <si>
    <t>ATR_EXPANSION_MIN</t>
  </si>
  <si>
    <t>ATR expansion threshold</t>
  </si>
  <si>
    <t>SIZE_BOOST_ELITE</t>
  </si>
  <si>
    <t>Elite size boost</t>
  </si>
  <si>
    <t>ADAPTIVE_CONF_LOW_VOL_DELTA</t>
  </si>
  <si>
    <t>adaptive buy delta low vol</t>
  </si>
  <si>
    <t>ADAPTIVE_CONF_HIGH_VOL_DELTA</t>
  </si>
  <si>
    <t>adaptive buy delta high vol</t>
  </si>
  <si>
    <t>MIN_VOL_FOR_AGGRESSION</t>
  </si>
  <si>
    <t>size boost trigger</t>
  </si>
  <si>
    <t>AGGRESSION_SIZE_BOOST</t>
  </si>
  <si>
    <t>size multiplier</t>
  </si>
  <si>
    <t>STOP_MODEL</t>
  </si>
  <si>
    <t>ATR_STRUCTURE_HYBRID</t>
  </si>
  <si>
    <t>ATR_PERIOD</t>
  </si>
  <si>
    <t>ATR_MULTIPLIER</t>
  </si>
  <si>
    <t>STRUCTURE_LOOKBACK</t>
  </si>
  <si>
    <t>VWAP_INVALIDATION</t>
  </si>
  <si>
    <t>STOP_DISTANCE_FORMULA</t>
  </si>
  <si>
    <t>POSITION_MODEL</t>
  </si>
  <si>
    <t>VOLATILITY_ADJUSTED</t>
  </si>
  <si>
    <t>BASE_RISK</t>
  </si>
  <si>
    <t>SIZE_SMOOTHING</t>
  </si>
  <si>
    <t>MIN_NOTIONAL_FILTER</t>
  </si>
  <si>
    <t>POSITION_SIZE_FORMULA</t>
  </si>
  <si>
    <t>POSITION_CLAMP_FORMULA</t>
  </si>
  <si>
    <t>TP_MODEL</t>
  </si>
  <si>
    <t>PARTIAL_LADDER</t>
  </si>
  <si>
    <t>MIN_RR</t>
  </si>
  <si>
    <t>TP1_R</t>
  </si>
  <si>
    <t>TP2_R</t>
  </si>
  <si>
    <t>RUNNER_MODE</t>
  </si>
  <si>
    <t>TRAILING_ATR</t>
  </si>
  <si>
    <t>TP1_SIZE</t>
  </si>
  <si>
    <t>TP2_SIZE</t>
  </si>
  <si>
    <t>RUNNER_SIZE</t>
  </si>
  <si>
    <t>DAILY_DD_STOP</t>
  </si>
  <si>
    <t>EQUITY_KILL</t>
  </si>
  <si>
    <t>MAX_CONSECUTIVE_LOSSES</t>
  </si>
  <si>
    <t>LOSS_COOLDOWN_MIN</t>
  </si>
  <si>
    <t>DAILY_DD_FORMULA</t>
  </si>
  <si>
    <t>LOSS_STREAK_FORMULA</t>
  </si>
  <si>
    <t>Formula</t>
  </si>
  <si>
    <t>BUY_FIREWALL</t>
  </si>
  <si>
    <t>SELL_FIREWALL</t>
  </si>
  <si>
    <t>CONFIG_KEY</t>
  </si>
  <si>
    <t>CONFIG_SHEET</t>
  </si>
  <si>
    <t>LOOKUP_FORMULA</t>
  </si>
  <si>
    <t>CONFIG_CORE</t>
  </si>
  <si>
    <t>CHECK</t>
  </si>
  <si>
    <t>STATUS</t>
  </si>
  <si>
    <t>FORMULA</t>
  </si>
  <si>
    <t>AI_PASS</t>
  </si>
  <si>
    <t>RISK_PASS</t>
  </si>
  <si>
    <t>STRAT_WINNER_PRESENT</t>
  </si>
  <si>
    <t>FINAL_READY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</si>
</sst>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externalLink" Target="externalLinks/externalLink14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externalLink" Target="externalLinks/externalLink4.xml"/><Relationship Id="rId79" Type="http://schemas.openxmlformats.org/officeDocument/2006/relationships/externalLink" Target="externalLinks/externalLink9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externalLink" Target="externalLinks/externalLink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externalLink" Target="externalLinks/externalLink2.xml"/><Relationship Id="rId80" Type="http://schemas.openxmlformats.org/officeDocument/2006/relationships/externalLink" Target="externalLinks/externalLink10.xml"/><Relationship Id="rId85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externalLink" Target="externalLinks/externalLink5.xml"/><Relationship Id="rId83" Type="http://schemas.openxmlformats.org/officeDocument/2006/relationships/externalLink" Target="externalLinks/externalLink13.xml"/><Relationship Id="rId88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externalLink" Target="externalLinks/externalLink3.xml"/><Relationship Id="rId78" Type="http://schemas.openxmlformats.org/officeDocument/2006/relationships/externalLink" Target="externalLinks/externalLink8.xml"/><Relationship Id="rId81" Type="http://schemas.openxmlformats.org/officeDocument/2006/relationships/externalLink" Target="externalLinks/externalLink11.xml"/><Relationship Id="rId86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externalLink" Target="externalLinks/externalLink6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externalLink" Target="externalLinks/externalLink12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GIME_ENGINE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DRAWDOWN_ENGINE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FAILURE_ARCHITECTURE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OPEN_RISK_ENGINE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microsoft.com/office/2006/relationships/xlExternalLinkPath/xlPathMissing" Target="RISK_CORE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microsoft.com/office/2006/relationships/xlExternalLinkPath/xlPathMissing" Target="DATA_PRICE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microsoft.com/office/2006/relationships/xlExternalLinkPath/xlPathMissing" Target="EXIT_ENGINE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DOMINANCE_ENGINE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microsoft.com/office/2006/relationships/xlExternalLinkPath/xlPathMissing" Target="EXECUTION_ENGINE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TURNS_OWNERSHIP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microsoft.com/office/2006/relationships/xlExternalLinkPath/xlPathMissing" Target="SELL_PROFILE_FIXED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SELL_PROFILE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MARKET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microsoft.com/office/2006/relationships/xlExternalLinkPath/xlPathMissing" Target="EXECUTION_REALITY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GIME_ENGINE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RAWDOWN_ENGINE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ILURE_ARCHITECTURE"/>
    </sheetNames>
    <sheetDataSet>
      <sheetData sheetId="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PEN_RISK_ENGINE"/>
    </sheetNames>
    <sheetDataSet>
      <sheetData sheetId="0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ISK_CORE"/>
    </sheetNames>
    <sheetDataSet>
      <sheetData sheetId="0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_PRICES"/>
    </sheet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IT_ENGINE"/>
    </sheetNames>
    <sheetDataSet>
      <sheetData sheetId="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OMINANCE_ENGINE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ECUTION_ENGINE"/>
    </sheetNames>
    <sheetDataSet>
      <sheetData sheetId="0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TURNS_OWNERSHIP"/>
    </sheetNames>
    <sheetDataSet>
      <sheetData sheetId="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ELL_PROFILE_FIXED"/>
    </sheetNames>
    <sheetDataSet>
      <sheetData sheetId="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ELL_PROFILE"/>
    </sheetNames>
    <sheetDataSet>
      <sheetData sheetId="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RKET"/>
    </sheetNames>
    <sheetDataSet>
      <sheetData sheetId="0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ECUTION_REALITY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31"/>
  <sheetViews>
    <sheetView workbookViewId="0"/>
  </sheetViews>
  <sheetFormatPr defaultRowHeight="15" x14ac:dyDescent="0.25"/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t="s">
        <v>4</v>
      </c>
      <c r="B2" t="s">
        <v>5</v>
      </c>
      <c r="C2" t="s">
        <v>6</v>
      </c>
      <c r="D2" t="s">
        <v>7</v>
      </c>
    </row>
    <row r="3" spans="1:4" x14ac:dyDescent="0.25">
      <c r="A3" t="s">
        <v>4</v>
      </c>
      <c r="B3" t="s">
        <v>5</v>
      </c>
      <c r="C3" t="s">
        <v>8</v>
      </c>
      <c r="D3" t="s">
        <v>9</v>
      </c>
    </row>
    <row r="4" spans="1:4" x14ac:dyDescent="0.25">
      <c r="A4" t="s">
        <v>4</v>
      </c>
      <c r="B4" t="s">
        <v>5</v>
      </c>
      <c r="C4" t="s">
        <v>10</v>
      </c>
      <c r="D4" t="s">
        <v>11</v>
      </c>
    </row>
    <row r="5" spans="1:4" x14ac:dyDescent="0.25">
      <c r="A5" t="s">
        <v>4</v>
      </c>
      <c r="B5" t="s">
        <v>5</v>
      </c>
      <c r="C5" t="s">
        <v>12</v>
      </c>
      <c r="D5" t="s">
        <v>13</v>
      </c>
    </row>
    <row r="6" spans="1:4" x14ac:dyDescent="0.25">
      <c r="A6" t="s">
        <v>4</v>
      </c>
      <c r="B6" t="s">
        <v>14</v>
      </c>
      <c r="C6" t="s">
        <v>15</v>
      </c>
      <c r="D6" t="s">
        <v>16</v>
      </c>
    </row>
    <row r="7" spans="1:4" x14ac:dyDescent="0.25">
      <c r="A7" t="s">
        <v>4</v>
      </c>
      <c r="B7" t="s">
        <v>17</v>
      </c>
      <c r="C7" t="s">
        <v>6</v>
      </c>
      <c r="D7" t="s">
        <v>18</v>
      </c>
    </row>
    <row r="8" spans="1:4" x14ac:dyDescent="0.25">
      <c r="A8" t="s">
        <v>4</v>
      </c>
      <c r="B8" t="s">
        <v>17</v>
      </c>
      <c r="C8" t="s">
        <v>19</v>
      </c>
      <c r="D8" t="s">
        <v>20</v>
      </c>
    </row>
    <row r="9" spans="1:4" x14ac:dyDescent="0.25">
      <c r="A9" t="s">
        <v>4</v>
      </c>
      <c r="B9" t="s">
        <v>17</v>
      </c>
      <c r="C9" t="s">
        <v>8</v>
      </c>
      <c r="D9" t="s">
        <v>21</v>
      </c>
    </row>
    <row r="10" spans="1:4" x14ac:dyDescent="0.25">
      <c r="A10" t="s">
        <v>4</v>
      </c>
      <c r="B10" t="s">
        <v>17</v>
      </c>
      <c r="C10" t="s">
        <v>10</v>
      </c>
      <c r="D10" t="s">
        <v>22</v>
      </c>
    </row>
    <row r="11" spans="1:4" x14ac:dyDescent="0.25">
      <c r="A11" t="s">
        <v>4</v>
      </c>
      <c r="B11" t="s">
        <v>23</v>
      </c>
      <c r="C11" t="s">
        <v>15</v>
      </c>
      <c r="D11" t="s">
        <v>24</v>
      </c>
    </row>
    <row r="12" spans="1:4" x14ac:dyDescent="0.25">
      <c r="A12" t="s">
        <v>4</v>
      </c>
      <c r="B12" t="s">
        <v>23</v>
      </c>
      <c r="C12" t="s">
        <v>25</v>
      </c>
      <c r="D12" t="s">
        <v>26</v>
      </c>
    </row>
    <row r="13" spans="1:4" x14ac:dyDescent="0.25">
      <c r="A13" t="s">
        <v>4</v>
      </c>
      <c r="B13" t="s">
        <v>27</v>
      </c>
      <c r="C13" t="s">
        <v>8</v>
      </c>
      <c r="D13" t="s">
        <v>28</v>
      </c>
    </row>
    <row r="14" spans="1:4" x14ac:dyDescent="0.25">
      <c r="A14" t="s">
        <v>4</v>
      </c>
      <c r="B14" t="s">
        <v>27</v>
      </c>
      <c r="C14" t="s">
        <v>29</v>
      </c>
      <c r="D14" t="e">
        <f>B3*[1]REGIME_ENGINE!B9</f>
        <v>#VALUE!</v>
      </c>
    </row>
    <row r="15" spans="1:4" x14ac:dyDescent="0.25">
      <c r="A15" t="s">
        <v>4</v>
      </c>
      <c r="B15" t="s">
        <v>27</v>
      </c>
      <c r="C15" t="s">
        <v>30</v>
      </c>
      <c r="D15" t="s">
        <v>31</v>
      </c>
    </row>
    <row r="16" spans="1:4" x14ac:dyDescent="0.25">
      <c r="A16" t="s">
        <v>4</v>
      </c>
      <c r="B16" t="s">
        <v>27</v>
      </c>
      <c r="C16" t="s">
        <v>32</v>
      </c>
      <c r="D16" t="e">
        <f>B4*[2]DRAWDOWN_ENGINE!B8</f>
        <v>#VALUE!</v>
      </c>
    </row>
    <row r="17" spans="1:4" x14ac:dyDescent="0.25">
      <c r="A17" t="s">
        <v>4</v>
      </c>
      <c r="B17" t="s">
        <v>27</v>
      </c>
      <c r="C17" t="s">
        <v>33</v>
      </c>
      <c r="D17" t="e">
        <f>IF(AND([3]FAILURE_ARCHITECTURE!B6="ACTIVE",[2]DRAWDOWN_ENGINE!B6&lt;&gt;"CRITICAL"),"APPROVED","REJECTED")</f>
        <v>#REF!</v>
      </c>
    </row>
    <row r="18" spans="1:4" x14ac:dyDescent="0.25">
      <c r="A18" t="s">
        <v>4</v>
      </c>
      <c r="B18" t="s">
        <v>27</v>
      </c>
      <c r="C18" t="s">
        <v>25</v>
      </c>
      <c r="D18" t="s">
        <v>34</v>
      </c>
    </row>
    <row r="19" spans="1:4" x14ac:dyDescent="0.25">
      <c r="A19" t="s">
        <v>4</v>
      </c>
      <c r="B19" t="s">
        <v>27</v>
      </c>
      <c r="C19" t="s">
        <v>35</v>
      </c>
      <c r="D19" t="e">
        <f>[4]OPEN_RISK_ENGINE!B9</f>
        <v>#REF!</v>
      </c>
    </row>
    <row r="20" spans="1:4" x14ac:dyDescent="0.25">
      <c r="A20" t="s">
        <v>4</v>
      </c>
      <c r="B20" t="s">
        <v>36</v>
      </c>
      <c r="C20" t="s">
        <v>37</v>
      </c>
      <c r="D20" t="s">
        <v>24</v>
      </c>
    </row>
    <row r="21" spans="1:4" x14ac:dyDescent="0.25">
      <c r="A21" t="s">
        <v>4</v>
      </c>
      <c r="B21" t="s">
        <v>36</v>
      </c>
      <c r="C21" t="s">
        <v>38</v>
      </c>
      <c r="D21" t="s">
        <v>22</v>
      </c>
    </row>
    <row r="22" spans="1:4" x14ac:dyDescent="0.25">
      <c r="A22" t="s">
        <v>4</v>
      </c>
      <c r="B22" t="s">
        <v>36</v>
      </c>
      <c r="C22" t="s">
        <v>39</v>
      </c>
      <c r="D22" t="s">
        <v>40</v>
      </c>
    </row>
    <row r="23" spans="1:4" x14ac:dyDescent="0.25">
      <c r="A23" t="s">
        <v>4</v>
      </c>
      <c r="B23" t="s">
        <v>36</v>
      </c>
      <c r="C23" t="s">
        <v>41</v>
      </c>
      <c r="D23" t="e">
        <f>[1]REGIME_ENGINE!B7</f>
        <v>#REF!</v>
      </c>
    </row>
    <row r="24" spans="1:4" x14ac:dyDescent="0.25">
      <c r="A24" t="s">
        <v>4</v>
      </c>
      <c r="B24" t="s">
        <v>36</v>
      </c>
      <c r="C24" t="s">
        <v>42</v>
      </c>
      <c r="D24" t="e">
        <f>[2]DRAWDOWN_ENGINE!B6</f>
        <v>#REF!</v>
      </c>
    </row>
    <row r="25" spans="1:4" x14ac:dyDescent="0.25">
      <c r="A25" t="s">
        <v>4</v>
      </c>
      <c r="B25" t="s">
        <v>36</v>
      </c>
      <c r="C25" t="s">
        <v>43</v>
      </c>
      <c r="D25" t="e">
        <f>[4]OPEN_RISK_ENGINE!B9</f>
        <v>#REF!</v>
      </c>
    </row>
    <row r="26" spans="1:4" x14ac:dyDescent="0.25">
      <c r="A26" t="s">
        <v>4</v>
      </c>
      <c r="B26" t="s">
        <v>44</v>
      </c>
      <c r="C26" t="s">
        <v>6</v>
      </c>
      <c r="D26" t="s">
        <v>45</v>
      </c>
    </row>
    <row r="27" spans="1:4" x14ac:dyDescent="0.25">
      <c r="A27" t="s">
        <v>4</v>
      </c>
      <c r="B27" t="s">
        <v>44</v>
      </c>
      <c r="C27" t="s">
        <v>46</v>
      </c>
      <c r="D27" t="s">
        <v>47</v>
      </c>
    </row>
    <row r="28" spans="1:4" x14ac:dyDescent="0.25">
      <c r="A28" t="s">
        <v>4</v>
      </c>
      <c r="B28" t="s">
        <v>44</v>
      </c>
      <c r="C28" t="s">
        <v>30</v>
      </c>
      <c r="D28" t="s">
        <v>48</v>
      </c>
    </row>
    <row r="29" spans="1:4" x14ac:dyDescent="0.25">
      <c r="A29" t="s">
        <v>4</v>
      </c>
      <c r="B29" t="s">
        <v>44</v>
      </c>
      <c r="C29" t="s">
        <v>15</v>
      </c>
      <c r="D29" t="s">
        <v>49</v>
      </c>
    </row>
    <row r="30" spans="1:4" x14ac:dyDescent="0.25">
      <c r="A30" t="s">
        <v>4</v>
      </c>
      <c r="B30" t="s">
        <v>44</v>
      </c>
      <c r="C30" t="s">
        <v>25</v>
      </c>
      <c r="D30" t="s">
        <v>40</v>
      </c>
    </row>
    <row r="31" spans="1:4" x14ac:dyDescent="0.25">
      <c r="A31" t="s">
        <v>4</v>
      </c>
      <c r="B31" t="s">
        <v>44</v>
      </c>
      <c r="C31" t="s">
        <v>35</v>
      </c>
      <c r="D31" t="str">
        <f>IF(B5&gt;=B7,"RISK_LIMIT_REACHED","SAFE")</f>
        <v>RISK_LIMIT_REACHED</v>
      </c>
    </row>
    <row r="32" spans="1:4" x14ac:dyDescent="0.25">
      <c r="A32" t="s">
        <v>4</v>
      </c>
      <c r="B32" t="s">
        <v>50</v>
      </c>
      <c r="C32" t="s">
        <v>8</v>
      </c>
      <c r="D32" t="s">
        <v>13</v>
      </c>
    </row>
    <row r="33" spans="1:4" x14ac:dyDescent="0.25">
      <c r="A33" t="s">
        <v>51</v>
      </c>
      <c r="B33" t="s">
        <v>52</v>
      </c>
      <c r="C33" t="s">
        <v>6</v>
      </c>
      <c r="D33" t="s">
        <v>53</v>
      </c>
    </row>
    <row r="34" spans="1:4" x14ac:dyDescent="0.25">
      <c r="A34" t="s">
        <v>51</v>
      </c>
      <c r="B34" t="s">
        <v>52</v>
      </c>
      <c r="C34" t="s">
        <v>54</v>
      </c>
      <c r="D34" t="s">
        <v>55</v>
      </c>
    </row>
    <row r="35" spans="1:4" x14ac:dyDescent="0.25">
      <c r="A35" t="s">
        <v>51</v>
      </c>
      <c r="B35" t="s">
        <v>56</v>
      </c>
      <c r="C35" t="s">
        <v>54</v>
      </c>
      <c r="D35" t="s">
        <v>57</v>
      </c>
    </row>
    <row r="36" spans="1:4" x14ac:dyDescent="0.25">
      <c r="A36" t="s">
        <v>51</v>
      </c>
      <c r="B36" t="s">
        <v>23</v>
      </c>
      <c r="C36" t="s">
        <v>58</v>
      </c>
      <c r="D36" t="s">
        <v>59</v>
      </c>
    </row>
    <row r="37" spans="1:4" x14ac:dyDescent="0.25">
      <c r="A37" t="s">
        <v>51</v>
      </c>
      <c r="B37" t="s">
        <v>60</v>
      </c>
      <c r="C37" t="s">
        <v>42</v>
      </c>
      <c r="D37" t="e">
        <f>[5]RISK_CORE!F2</f>
        <v>#REF!</v>
      </c>
    </row>
    <row r="38" spans="1:4" x14ac:dyDescent="0.25">
      <c r="A38" t="s">
        <v>51</v>
      </c>
      <c r="B38" t="s">
        <v>61</v>
      </c>
      <c r="C38" t="s">
        <v>62</v>
      </c>
      <c r="D38" t="e">
        <f>IF(AND(A2="BULLISH",[1]REGIME_ENGINE!G2&lt;&gt;"CHOP",[5]RISK_CORE!G2=TRUE),"BUY","WAIT")</f>
        <v>#REF!</v>
      </c>
    </row>
    <row r="39" spans="1:4" x14ac:dyDescent="0.25">
      <c r="A39" t="s">
        <v>51</v>
      </c>
      <c r="B39" t="s">
        <v>63</v>
      </c>
      <c r="C39" t="s">
        <v>62</v>
      </c>
      <c r="D39" t="e">
        <f>IF(AND(A2=TRUE,[1]REGIME_ENGINE!G2&lt;&gt;"CHOP"),"SHORT","WAIT")</f>
        <v>#REF!</v>
      </c>
    </row>
    <row r="40" spans="1:4" x14ac:dyDescent="0.25">
      <c r="A40" t="s">
        <v>51</v>
      </c>
      <c r="B40" t="s">
        <v>64</v>
      </c>
      <c r="C40" t="s">
        <v>6</v>
      </c>
      <c r="D40" t="s">
        <v>65</v>
      </c>
    </row>
    <row r="41" spans="1:4" x14ac:dyDescent="0.25">
      <c r="A41" t="s">
        <v>51</v>
      </c>
      <c r="B41" t="s">
        <v>64</v>
      </c>
      <c r="C41" t="s">
        <v>54</v>
      </c>
      <c r="D41" t="s">
        <v>66</v>
      </c>
    </row>
    <row r="42" spans="1:4" x14ac:dyDescent="0.25">
      <c r="A42" t="s">
        <v>51</v>
      </c>
      <c r="B42" t="s">
        <v>67</v>
      </c>
      <c r="C42" t="s">
        <v>37</v>
      </c>
      <c r="D42" t="s">
        <v>24</v>
      </c>
    </row>
    <row r="43" spans="1:4" x14ac:dyDescent="0.25">
      <c r="A43" t="s">
        <v>51</v>
      </c>
      <c r="B43" t="s">
        <v>68</v>
      </c>
      <c r="C43" t="s">
        <v>54</v>
      </c>
      <c r="D43" t="s">
        <v>69</v>
      </c>
    </row>
    <row r="44" spans="1:4" x14ac:dyDescent="0.25">
      <c r="A44" t="s">
        <v>51</v>
      </c>
      <c r="B44" t="s">
        <v>68</v>
      </c>
      <c r="C44" t="s">
        <v>37</v>
      </c>
      <c r="D44" t="s">
        <v>70</v>
      </c>
    </row>
    <row r="45" spans="1:4" x14ac:dyDescent="0.25">
      <c r="A45" t="s">
        <v>51</v>
      </c>
      <c r="B45" t="s">
        <v>68</v>
      </c>
      <c r="C45" t="s">
        <v>71</v>
      </c>
      <c r="D45" t="s">
        <v>72</v>
      </c>
    </row>
    <row r="46" spans="1:4" x14ac:dyDescent="0.25">
      <c r="A46" t="s">
        <v>51</v>
      </c>
      <c r="B46" t="s">
        <v>68</v>
      </c>
      <c r="C46" t="s">
        <v>39</v>
      </c>
      <c r="D46" t="s">
        <v>73</v>
      </c>
    </row>
    <row r="47" spans="1:4" x14ac:dyDescent="0.25">
      <c r="A47" t="s">
        <v>51</v>
      </c>
      <c r="B47" t="s">
        <v>68</v>
      </c>
      <c r="C47" t="s">
        <v>41</v>
      </c>
      <c r="D47" t="e">
        <f>IF([1]REGIME_ENGINE!G2="TREND",1,IF([1]REGIME_ENGINE!G2="EXPANSION",1.2,0.5))</f>
        <v>#REF!</v>
      </c>
    </row>
    <row r="48" spans="1:4" x14ac:dyDescent="0.25">
      <c r="A48" t="s">
        <v>51</v>
      </c>
      <c r="B48" t="s">
        <v>68</v>
      </c>
      <c r="C48" t="s">
        <v>74</v>
      </c>
      <c r="D48" t="e">
        <f>IF(RISK_ENGINE!C2/A2&gt;0.05,0.5,1)</f>
        <v>#VALUE!</v>
      </c>
    </row>
    <row r="49" spans="1:4" x14ac:dyDescent="0.25">
      <c r="A49" t="s">
        <v>51</v>
      </c>
      <c r="B49" t="s">
        <v>75</v>
      </c>
      <c r="C49" t="s">
        <v>37</v>
      </c>
      <c r="D49" t="s">
        <v>76</v>
      </c>
    </row>
    <row r="50" spans="1:4" x14ac:dyDescent="0.25">
      <c r="A50" t="s">
        <v>51</v>
      </c>
      <c r="B50" t="s">
        <v>75</v>
      </c>
      <c r="C50" t="s">
        <v>41</v>
      </c>
      <c r="D50" t="e">
        <f>[5]RISK_CORE!H2="DEFENSIVE"</f>
        <v>#REF!</v>
      </c>
    </row>
    <row r="51" spans="1:4" x14ac:dyDescent="0.25">
      <c r="A51" t="s">
        <v>77</v>
      </c>
      <c r="B51" t="s">
        <v>78</v>
      </c>
      <c r="C51" t="s">
        <v>6</v>
      </c>
      <c r="D51" t="s">
        <v>79</v>
      </c>
    </row>
    <row r="52" spans="1:4" x14ac:dyDescent="0.25">
      <c r="A52" t="s">
        <v>77</v>
      </c>
      <c r="B52" t="s">
        <v>52</v>
      </c>
      <c r="C52" t="s">
        <v>6</v>
      </c>
      <c r="D52" t="s">
        <v>53</v>
      </c>
    </row>
    <row r="53" spans="1:4" x14ac:dyDescent="0.25">
      <c r="A53" t="s">
        <v>77</v>
      </c>
      <c r="B53" t="s">
        <v>52</v>
      </c>
      <c r="C53" t="s">
        <v>54</v>
      </c>
      <c r="D53" t="s">
        <v>55</v>
      </c>
    </row>
    <row r="54" spans="1:4" x14ac:dyDescent="0.25">
      <c r="A54" t="s">
        <v>77</v>
      </c>
      <c r="B54" t="s">
        <v>23</v>
      </c>
      <c r="C54" t="s">
        <v>38</v>
      </c>
      <c r="D54" t="s">
        <v>59</v>
      </c>
    </row>
    <row r="55" spans="1:4" x14ac:dyDescent="0.25">
      <c r="A55" t="s">
        <v>77</v>
      </c>
      <c r="B55" t="s">
        <v>80</v>
      </c>
      <c r="C55" t="s">
        <v>19</v>
      </c>
      <c r="D55" t="e">
        <f>IF([6]DATA_PRICES!A2&lt;[6]DATA_PRICES!H2,"SELL_ZONE","BUY_ZONE")</f>
        <v>#REF!</v>
      </c>
    </row>
    <row r="56" spans="1:4" x14ac:dyDescent="0.25">
      <c r="A56" t="s">
        <v>77</v>
      </c>
      <c r="B56" t="s">
        <v>61</v>
      </c>
      <c r="C56" t="s">
        <v>62</v>
      </c>
      <c r="D56" t="e">
        <f>IF(AND(A2="BULLISH",[1]REGIME_ENGINE!D2="TREND"),"BUY","WAIT")</f>
        <v>#REF!</v>
      </c>
    </row>
    <row r="57" spans="1:4" x14ac:dyDescent="0.25">
      <c r="A57" t="s">
        <v>77</v>
      </c>
      <c r="B57" t="s">
        <v>56</v>
      </c>
      <c r="C57" t="s">
        <v>54</v>
      </c>
      <c r="D57" t="s">
        <v>57</v>
      </c>
    </row>
    <row r="58" spans="1:4" x14ac:dyDescent="0.25">
      <c r="A58" t="s">
        <v>77</v>
      </c>
      <c r="B58" t="s">
        <v>81</v>
      </c>
      <c r="C58" t="s">
        <v>19</v>
      </c>
      <c r="D58">
        <f>RISK_ENGINE!C2</f>
        <v>0</v>
      </c>
    </row>
    <row r="59" spans="1:4" x14ac:dyDescent="0.25">
      <c r="A59" t="s">
        <v>77</v>
      </c>
      <c r="B59" t="s">
        <v>82</v>
      </c>
      <c r="C59" t="s">
        <v>6</v>
      </c>
      <c r="D59" t="s">
        <v>83</v>
      </c>
    </row>
    <row r="60" spans="1:4" x14ac:dyDescent="0.25">
      <c r="A60" t="s">
        <v>77</v>
      </c>
      <c r="B60" t="s">
        <v>84</v>
      </c>
      <c r="C60" t="s">
        <v>6</v>
      </c>
      <c r="D60" t="s">
        <v>85</v>
      </c>
    </row>
    <row r="61" spans="1:4" x14ac:dyDescent="0.25">
      <c r="A61" t="s">
        <v>77</v>
      </c>
      <c r="B61" t="s">
        <v>84</v>
      </c>
      <c r="C61" t="s">
        <v>54</v>
      </c>
      <c r="D61" t="s">
        <v>86</v>
      </c>
    </row>
    <row r="62" spans="1:4" x14ac:dyDescent="0.25">
      <c r="A62" t="s">
        <v>77</v>
      </c>
      <c r="B62" t="s">
        <v>64</v>
      </c>
      <c r="C62" t="s">
        <v>6</v>
      </c>
      <c r="D62" t="s">
        <v>66</v>
      </c>
    </row>
    <row r="63" spans="1:4" x14ac:dyDescent="0.25">
      <c r="A63" t="s">
        <v>77</v>
      </c>
      <c r="B63" t="s">
        <v>67</v>
      </c>
      <c r="C63" t="s">
        <v>37</v>
      </c>
      <c r="D63" t="s">
        <v>24</v>
      </c>
    </row>
    <row r="64" spans="1:4" x14ac:dyDescent="0.25">
      <c r="A64" t="s">
        <v>77</v>
      </c>
      <c r="B64" t="s">
        <v>87</v>
      </c>
      <c r="C64" t="s">
        <v>19</v>
      </c>
      <c r="D64" t="s">
        <v>88</v>
      </c>
    </row>
    <row r="65" spans="1:4" x14ac:dyDescent="0.25">
      <c r="A65" t="s">
        <v>77</v>
      </c>
      <c r="B65" t="s">
        <v>87</v>
      </c>
      <c r="C65" t="s">
        <v>62</v>
      </c>
      <c r="D65" t="e">
        <f>[1]REGIME_ENGINE!D2</f>
        <v>#REF!</v>
      </c>
    </row>
    <row r="66" spans="1:4" x14ac:dyDescent="0.25">
      <c r="A66" t="s">
        <v>89</v>
      </c>
      <c r="B66" t="s">
        <v>78</v>
      </c>
      <c r="C66" t="s">
        <v>90</v>
      </c>
      <c r="D66" t="s">
        <v>91</v>
      </c>
    </row>
    <row r="67" spans="1:4" x14ac:dyDescent="0.25">
      <c r="A67" t="s">
        <v>89</v>
      </c>
      <c r="B67" t="s">
        <v>78</v>
      </c>
      <c r="C67" t="s">
        <v>35</v>
      </c>
      <c r="D67" t="s">
        <v>92</v>
      </c>
    </row>
    <row r="68" spans="1:4" x14ac:dyDescent="0.25">
      <c r="A68" t="s">
        <v>89</v>
      </c>
      <c r="B68" t="s">
        <v>78</v>
      </c>
      <c r="C68" t="s">
        <v>93</v>
      </c>
      <c r="D68" t="s">
        <v>94</v>
      </c>
    </row>
    <row r="69" spans="1:4" x14ac:dyDescent="0.25">
      <c r="A69" t="s">
        <v>89</v>
      </c>
      <c r="B69" t="s">
        <v>78</v>
      </c>
      <c r="C69" t="s">
        <v>95</v>
      </c>
      <c r="D69" t="s">
        <v>96</v>
      </c>
    </row>
    <row r="70" spans="1:4" x14ac:dyDescent="0.25">
      <c r="A70" t="s">
        <v>89</v>
      </c>
      <c r="B70" t="s">
        <v>97</v>
      </c>
      <c r="C70" t="s">
        <v>6</v>
      </c>
      <c r="D70" t="s">
        <v>98</v>
      </c>
    </row>
    <row r="71" spans="1:4" x14ac:dyDescent="0.25">
      <c r="A71" t="s">
        <v>89</v>
      </c>
      <c r="B71" t="s">
        <v>97</v>
      </c>
      <c r="C71" t="s">
        <v>30</v>
      </c>
      <c r="D71" t="s">
        <v>99</v>
      </c>
    </row>
    <row r="72" spans="1:4" x14ac:dyDescent="0.25">
      <c r="A72" t="s">
        <v>89</v>
      </c>
      <c r="B72" t="s">
        <v>97</v>
      </c>
      <c r="C72" t="s">
        <v>100</v>
      </c>
      <c r="D72" t="s">
        <v>101</v>
      </c>
    </row>
    <row r="73" spans="1:4" x14ac:dyDescent="0.25">
      <c r="A73" t="s">
        <v>89</v>
      </c>
      <c r="B73" t="s">
        <v>97</v>
      </c>
      <c r="C73" t="s">
        <v>102</v>
      </c>
      <c r="D73">
        <f>RISK_ENGINE!B18</f>
        <v>0</v>
      </c>
    </row>
    <row r="74" spans="1:4" x14ac:dyDescent="0.25">
      <c r="A74" t="s">
        <v>89</v>
      </c>
      <c r="B74" t="s">
        <v>97</v>
      </c>
      <c r="C74" t="s">
        <v>103</v>
      </c>
      <c r="D74" t="s">
        <v>101</v>
      </c>
    </row>
    <row r="75" spans="1:4" x14ac:dyDescent="0.25">
      <c r="A75" t="s">
        <v>89</v>
      </c>
      <c r="B75" t="s">
        <v>97</v>
      </c>
      <c r="C75" t="s">
        <v>104</v>
      </c>
      <c r="D75" t="s">
        <v>105</v>
      </c>
    </row>
    <row r="76" spans="1:4" x14ac:dyDescent="0.25">
      <c r="A76" t="s">
        <v>89</v>
      </c>
      <c r="B76" t="s">
        <v>106</v>
      </c>
      <c r="C76" t="s">
        <v>6</v>
      </c>
      <c r="D76" t="s">
        <v>107</v>
      </c>
    </row>
    <row r="77" spans="1:4" x14ac:dyDescent="0.25">
      <c r="A77" t="s">
        <v>89</v>
      </c>
      <c r="B77" t="s">
        <v>106</v>
      </c>
      <c r="C77" t="s">
        <v>30</v>
      </c>
      <c r="D77" t="s">
        <v>108</v>
      </c>
    </row>
    <row r="78" spans="1:4" x14ac:dyDescent="0.25">
      <c r="A78" t="s">
        <v>89</v>
      </c>
      <c r="B78" t="s">
        <v>106</v>
      </c>
      <c r="C78" t="s">
        <v>109</v>
      </c>
      <c r="D78" t="s">
        <v>110</v>
      </c>
    </row>
    <row r="79" spans="1:4" x14ac:dyDescent="0.25">
      <c r="A79" t="s">
        <v>89</v>
      </c>
      <c r="B79" t="s">
        <v>111</v>
      </c>
      <c r="C79" t="s">
        <v>6</v>
      </c>
      <c r="D79" t="s">
        <v>112</v>
      </c>
    </row>
    <row r="80" spans="1:4" x14ac:dyDescent="0.25">
      <c r="A80" t="s">
        <v>89</v>
      </c>
      <c r="B80" t="s">
        <v>111</v>
      </c>
      <c r="C80" t="s">
        <v>46</v>
      </c>
      <c r="D80" t="s">
        <v>113</v>
      </c>
    </row>
    <row r="81" spans="1:4" x14ac:dyDescent="0.25">
      <c r="A81" t="s">
        <v>89</v>
      </c>
      <c r="B81" t="s">
        <v>111</v>
      </c>
      <c r="C81" t="s">
        <v>114</v>
      </c>
      <c r="D81" t="s">
        <v>115</v>
      </c>
    </row>
    <row r="82" spans="1:4" x14ac:dyDescent="0.25">
      <c r="A82" t="s">
        <v>89</v>
      </c>
      <c r="B82" t="s">
        <v>111</v>
      </c>
      <c r="C82" t="s">
        <v>116</v>
      </c>
      <c r="D82" t="str">
        <f>IF(OR(K6&gt;=RISK_ENGINE!$B$7,L6&lt;=RISK_ENGINE!$B$8),"FROZEN","ACTIVE")</f>
        <v>FROZEN</v>
      </c>
    </row>
    <row r="83" spans="1:4" x14ac:dyDescent="0.25">
      <c r="A83" t="s">
        <v>89</v>
      </c>
      <c r="B83" t="s">
        <v>111</v>
      </c>
      <c r="C83" t="s">
        <v>117</v>
      </c>
      <c r="D83" t="str">
        <f>IF(M6="FROZEN","STOP",IF(AND(J6&gt;=RISK_ENGINE!$B$9,I6&gt;=RISK_ENGINE!$B$10),"RE-UP","HOLD"))</f>
        <v>RE-UP</v>
      </c>
    </row>
    <row r="84" spans="1:4" x14ac:dyDescent="0.25">
      <c r="A84" t="s">
        <v>89</v>
      </c>
      <c r="B84" t="s">
        <v>111</v>
      </c>
      <c r="C84" t="s">
        <v>118</v>
      </c>
      <c r="D84" t="str">
        <f>IF(OR(K7&gt;=RISK_ENGINE!$B$7,L7&lt;=RISK_ENGINE!$B$8),"FROZEN","ACTIVE")</f>
        <v>FROZEN</v>
      </c>
    </row>
    <row r="85" spans="1:4" x14ac:dyDescent="0.25">
      <c r="A85" t="s">
        <v>89</v>
      </c>
      <c r="B85" t="s">
        <v>111</v>
      </c>
      <c r="C85" t="s">
        <v>119</v>
      </c>
      <c r="D85" t="str">
        <f>IF(M7="FROZEN","STOP",IF(AND(J7&gt;=RISK_ENGINE!$B$9,I7&gt;=RISK_ENGINE!$B$10),"RE-UP","HOLD"))</f>
        <v>RE-UP</v>
      </c>
    </row>
    <row r="86" spans="1:4" x14ac:dyDescent="0.25">
      <c r="A86" t="s">
        <v>89</v>
      </c>
      <c r="B86" t="s">
        <v>111</v>
      </c>
      <c r="C86" t="s">
        <v>120</v>
      </c>
      <c r="D86" t="str">
        <f>IF(OR(K8&gt;=RISK_ENGINE!$B$7,L8&lt;=RISK_ENGINE!$B$8),"FROZEN","ACTIVE")</f>
        <v>FROZEN</v>
      </c>
    </row>
    <row r="87" spans="1:4" x14ac:dyDescent="0.25">
      <c r="A87" t="s">
        <v>89</v>
      </c>
      <c r="B87" t="s">
        <v>111</v>
      </c>
      <c r="C87" t="s">
        <v>121</v>
      </c>
      <c r="D87" t="str">
        <f>IF(M8="FROZEN","STOP",IF(AND(J8&gt;=RISK_ENGINE!$B$9,I8&gt;=RISK_ENGINE!$B$10),"RE-UP","HOLD"))</f>
        <v>RE-UP</v>
      </c>
    </row>
    <row r="88" spans="1:4" x14ac:dyDescent="0.25">
      <c r="A88" t="s">
        <v>89</v>
      </c>
      <c r="B88" t="s">
        <v>111</v>
      </c>
      <c r="C88" t="s">
        <v>122</v>
      </c>
      <c r="D88" t="str">
        <f>IF(OR(K9&gt;=RISK_ENGINE!$B$7,L9&lt;=RISK_ENGINE!$B$8),"FROZEN","ACTIVE")</f>
        <v>FROZEN</v>
      </c>
    </row>
    <row r="89" spans="1:4" x14ac:dyDescent="0.25">
      <c r="A89" t="s">
        <v>89</v>
      </c>
      <c r="B89" t="s">
        <v>111</v>
      </c>
      <c r="C89" t="s">
        <v>123</v>
      </c>
      <c r="D89" t="str">
        <f>IF(M9="FROZEN","STOP",IF(AND(J9&gt;=RISK_ENGINE!$B$9,I9&gt;=RISK_ENGINE!$B$10),"RE-UP","HOLD"))</f>
        <v>RE-UP</v>
      </c>
    </row>
    <row r="90" spans="1:4" x14ac:dyDescent="0.25">
      <c r="A90" t="s">
        <v>89</v>
      </c>
      <c r="B90" t="s">
        <v>111</v>
      </c>
      <c r="C90" t="s">
        <v>124</v>
      </c>
      <c r="D90" t="str">
        <f>IF(OR(K10&gt;=RISK_ENGINE!$B$7,L10&lt;=RISK_ENGINE!$B$8),"FROZEN","ACTIVE")</f>
        <v>FROZEN</v>
      </c>
    </row>
    <row r="91" spans="1:4" x14ac:dyDescent="0.25">
      <c r="A91" t="s">
        <v>89</v>
      </c>
      <c r="B91" t="s">
        <v>111</v>
      </c>
      <c r="C91" t="s">
        <v>125</v>
      </c>
      <c r="D91" t="str">
        <f>IF(M10="FROZEN","STOP",IF(AND(J10&gt;=RISK_ENGINE!$B$9,I10&gt;=RISK_ENGINE!$B$10),"RE-UP","HOLD"))</f>
        <v>RE-UP</v>
      </c>
    </row>
    <row r="92" spans="1:4" x14ac:dyDescent="0.25">
      <c r="A92" t="s">
        <v>89</v>
      </c>
      <c r="B92" t="s">
        <v>111</v>
      </c>
      <c r="C92" t="s">
        <v>126</v>
      </c>
      <c r="D92" t="str">
        <f>IF(OR(K11&gt;=RISK_ENGINE!$B$7,L11&lt;=RISK_ENGINE!$B$8),"FROZEN","ACTIVE")</f>
        <v>FROZEN</v>
      </c>
    </row>
    <row r="93" spans="1:4" x14ac:dyDescent="0.25">
      <c r="A93" t="s">
        <v>89</v>
      </c>
      <c r="B93" t="s">
        <v>111</v>
      </c>
      <c r="C93" t="s">
        <v>127</v>
      </c>
      <c r="D93" t="str">
        <f>IF(M11="FROZEN","STOP",IF(AND(J11&gt;=RISK_ENGINE!$B$9,I11&gt;=RISK_ENGINE!$B$10),"RE-UP","HOLD"))</f>
        <v>RE-UP</v>
      </c>
    </row>
    <row r="94" spans="1:4" x14ac:dyDescent="0.25">
      <c r="A94" t="s">
        <v>89</v>
      </c>
      <c r="B94" t="s">
        <v>111</v>
      </c>
      <c r="C94" t="s">
        <v>128</v>
      </c>
      <c r="D94" t="str">
        <f>IF(OR(K12&gt;=RISK_ENGINE!$B$7,L12&lt;=RISK_ENGINE!$B$8),"FROZEN","ACTIVE")</f>
        <v>FROZEN</v>
      </c>
    </row>
    <row r="95" spans="1:4" x14ac:dyDescent="0.25">
      <c r="A95" t="s">
        <v>89</v>
      </c>
      <c r="B95" t="s">
        <v>111</v>
      </c>
      <c r="C95" t="s">
        <v>129</v>
      </c>
      <c r="D95" t="str">
        <f>IF(M12="FROZEN","STOP",IF(AND(J12&gt;=RISK_ENGINE!$B$9,I12&gt;=RISK_ENGINE!$B$10),"RE-UP","HOLD"))</f>
        <v>RE-UP</v>
      </c>
    </row>
    <row r="96" spans="1:4" x14ac:dyDescent="0.25">
      <c r="A96" t="s">
        <v>89</v>
      </c>
      <c r="B96" t="s">
        <v>111</v>
      </c>
      <c r="C96" t="s">
        <v>130</v>
      </c>
      <c r="D96" t="str">
        <f>IF(OR(K13&gt;=RISK_ENGINE!$B$7,L13&lt;=RISK_ENGINE!$B$8),"FROZEN","ACTIVE")</f>
        <v>FROZEN</v>
      </c>
    </row>
    <row r="97" spans="1:4" x14ac:dyDescent="0.25">
      <c r="A97" t="s">
        <v>89</v>
      </c>
      <c r="B97" t="s">
        <v>111</v>
      </c>
      <c r="C97" t="s">
        <v>131</v>
      </c>
      <c r="D97" t="str">
        <f>IF(M13="FROZEN","STOP",IF(AND(J13&gt;=RISK_ENGINE!$B$9,I13&gt;=RISK_ENGINE!$B$10),"RE-UP","HOLD"))</f>
        <v>RE-UP</v>
      </c>
    </row>
    <row r="98" spans="1:4" x14ac:dyDescent="0.25">
      <c r="A98" t="s">
        <v>89</v>
      </c>
      <c r="B98" t="s">
        <v>111</v>
      </c>
      <c r="C98" t="s">
        <v>132</v>
      </c>
      <c r="D98" t="str">
        <f>IF(OR(K14&gt;=RISK_ENGINE!$B$7,L14&lt;=RISK_ENGINE!$B$8),"FROZEN","ACTIVE")</f>
        <v>FROZEN</v>
      </c>
    </row>
    <row r="99" spans="1:4" x14ac:dyDescent="0.25">
      <c r="A99" t="s">
        <v>89</v>
      </c>
      <c r="B99" t="s">
        <v>111</v>
      </c>
      <c r="C99" t="s">
        <v>133</v>
      </c>
      <c r="D99" t="str">
        <f>IF(M14="FROZEN","STOP",IF(AND(J14&gt;=RISK_ENGINE!$B$9,I14&gt;=RISK_ENGINE!$B$10),"RE-UP","HOLD"))</f>
        <v>RE-UP</v>
      </c>
    </row>
    <row r="100" spans="1:4" x14ac:dyDescent="0.25">
      <c r="A100" t="s">
        <v>89</v>
      </c>
      <c r="B100" t="s">
        <v>111</v>
      </c>
      <c r="C100" t="s">
        <v>134</v>
      </c>
      <c r="D100" t="str">
        <f>IF(OR(K15&gt;=RISK_ENGINE!$B$7,L15&lt;=RISK_ENGINE!$B$8),"FROZEN","ACTIVE")</f>
        <v>FROZEN</v>
      </c>
    </row>
    <row r="101" spans="1:4" x14ac:dyDescent="0.25">
      <c r="A101" t="s">
        <v>89</v>
      </c>
      <c r="B101" t="s">
        <v>111</v>
      </c>
      <c r="C101" t="s">
        <v>135</v>
      </c>
      <c r="D101" t="str">
        <f>IF(M15="FROZEN","STOP",IF(AND(J15&gt;=RISK_ENGINE!$B$9,I15&gt;=RISK_ENGINE!$B$10),"RE-UP","HOLD"))</f>
        <v>RE-UP</v>
      </c>
    </row>
    <row r="102" spans="1:4" x14ac:dyDescent="0.25">
      <c r="A102" t="s">
        <v>89</v>
      </c>
      <c r="B102" t="s">
        <v>111</v>
      </c>
      <c r="C102" t="s">
        <v>136</v>
      </c>
      <c r="D102" t="str">
        <f>IF(OR(K16&gt;=RISK_ENGINE!$B$7,L16&lt;=RISK_ENGINE!$B$8),"FROZEN","ACTIVE")</f>
        <v>FROZEN</v>
      </c>
    </row>
    <row r="103" spans="1:4" x14ac:dyDescent="0.25">
      <c r="A103" t="s">
        <v>89</v>
      </c>
      <c r="B103" t="s">
        <v>111</v>
      </c>
      <c r="C103" t="s">
        <v>137</v>
      </c>
      <c r="D103" t="str">
        <f>IF(M16="FROZEN","STOP",IF(AND(J16&gt;=RISK_ENGINE!$B$9,I16&gt;=RISK_ENGINE!$B$10),"RE-UP","HOLD"))</f>
        <v>RE-UP</v>
      </c>
    </row>
    <row r="104" spans="1:4" x14ac:dyDescent="0.25">
      <c r="A104" t="s">
        <v>89</v>
      </c>
      <c r="B104" t="s">
        <v>111</v>
      </c>
      <c r="C104" t="s">
        <v>138</v>
      </c>
      <c r="D104" t="str">
        <f>IF(OR(K17&gt;=RISK_ENGINE!$B$7,L17&lt;=RISK_ENGINE!$B$8),"FROZEN","ACTIVE")</f>
        <v>FROZEN</v>
      </c>
    </row>
    <row r="105" spans="1:4" x14ac:dyDescent="0.25">
      <c r="A105" t="s">
        <v>89</v>
      </c>
      <c r="B105" t="s">
        <v>111</v>
      </c>
      <c r="C105" t="s">
        <v>139</v>
      </c>
      <c r="D105" t="str">
        <f>IF(M17="FROZEN","STOP",IF(AND(J17&gt;=RISK_ENGINE!$B$9,I17&gt;=RISK_ENGINE!$B$10),"RE-UP","HOLD"))</f>
        <v>RE-UP</v>
      </c>
    </row>
    <row r="106" spans="1:4" x14ac:dyDescent="0.25">
      <c r="A106" t="s">
        <v>89</v>
      </c>
      <c r="B106" t="s">
        <v>111</v>
      </c>
      <c r="C106" t="s">
        <v>140</v>
      </c>
      <c r="D106" t="str">
        <f>IF(OR(K18&gt;=RISK_ENGINE!$B$7,L18&lt;=RISK_ENGINE!$B$8),"FROZEN","ACTIVE")</f>
        <v>FROZEN</v>
      </c>
    </row>
    <row r="107" spans="1:4" x14ac:dyDescent="0.25">
      <c r="A107" t="s">
        <v>89</v>
      </c>
      <c r="B107" t="s">
        <v>111</v>
      </c>
      <c r="C107" t="s">
        <v>141</v>
      </c>
      <c r="D107" t="str">
        <f>IF(M18="FROZEN","STOP",IF(AND(J18&gt;=RISK_ENGINE!$B$9,I18&gt;=RISK_ENGINE!$B$10),"RE-UP","HOLD"))</f>
        <v>RE-UP</v>
      </c>
    </row>
    <row r="108" spans="1:4" x14ac:dyDescent="0.25">
      <c r="A108" t="s">
        <v>89</v>
      </c>
      <c r="B108" t="s">
        <v>111</v>
      </c>
      <c r="C108" t="s">
        <v>142</v>
      </c>
      <c r="D108" t="str">
        <f>IF(OR(K19&gt;=RISK_ENGINE!$B$7,L19&lt;=RISK_ENGINE!$B$8),"FROZEN","ACTIVE")</f>
        <v>FROZEN</v>
      </c>
    </row>
    <row r="109" spans="1:4" x14ac:dyDescent="0.25">
      <c r="A109" t="s">
        <v>89</v>
      </c>
      <c r="B109" t="s">
        <v>111</v>
      </c>
      <c r="C109" t="s">
        <v>143</v>
      </c>
      <c r="D109" t="str">
        <f>IF(M19="FROZEN","STOP",IF(AND(J19&gt;=RISK_ENGINE!$B$9,I19&gt;=RISK_ENGINE!$B$10),"RE-UP","HOLD"))</f>
        <v>RE-UP</v>
      </c>
    </row>
    <row r="110" spans="1:4" x14ac:dyDescent="0.25">
      <c r="A110" t="s">
        <v>89</v>
      </c>
      <c r="B110" t="s">
        <v>111</v>
      </c>
      <c r="C110" t="s">
        <v>144</v>
      </c>
      <c r="D110" t="str">
        <f>IF(OR(K20&gt;=RISK_ENGINE!$B$7,L20&lt;=RISK_ENGINE!$B$8),"FROZEN","ACTIVE")</f>
        <v>FROZEN</v>
      </c>
    </row>
    <row r="111" spans="1:4" x14ac:dyDescent="0.25">
      <c r="A111" t="s">
        <v>89</v>
      </c>
      <c r="B111" t="s">
        <v>111</v>
      </c>
      <c r="C111" t="s">
        <v>145</v>
      </c>
      <c r="D111" t="str">
        <f>IF(M20="FROZEN","STOP",IF(AND(J20&gt;=RISK_ENGINE!$B$9,I20&gt;=RISK_ENGINE!$B$10),"RE-UP","HOLD"))</f>
        <v>RE-UP</v>
      </c>
    </row>
    <row r="112" spans="1:4" x14ac:dyDescent="0.25">
      <c r="A112" t="s">
        <v>89</v>
      </c>
      <c r="B112" t="s">
        <v>111</v>
      </c>
      <c r="C112" t="s">
        <v>146</v>
      </c>
      <c r="D112" t="str">
        <f>IF(OR(K21&gt;=RISK_ENGINE!$B$7,L21&lt;=RISK_ENGINE!$B$8),"FROZEN","ACTIVE")</f>
        <v>FROZEN</v>
      </c>
    </row>
    <row r="113" spans="1:4" x14ac:dyDescent="0.25">
      <c r="A113" t="s">
        <v>89</v>
      </c>
      <c r="B113" t="s">
        <v>111</v>
      </c>
      <c r="C113" t="s">
        <v>147</v>
      </c>
      <c r="D113" t="str">
        <f>IF(M21="FROZEN","STOP",IF(AND(J21&gt;=RISK_ENGINE!$B$9,I21&gt;=RISK_ENGINE!$B$10),"RE-UP","HOLD"))</f>
        <v>RE-UP</v>
      </c>
    </row>
    <row r="114" spans="1:4" x14ac:dyDescent="0.25">
      <c r="A114" t="s">
        <v>89</v>
      </c>
      <c r="B114" t="s">
        <v>111</v>
      </c>
      <c r="C114" t="s">
        <v>148</v>
      </c>
      <c r="D114" t="str">
        <f>IF(OR(K22&gt;=RISK_ENGINE!$B$7,L22&lt;=RISK_ENGINE!$B$8),"FROZEN","ACTIVE")</f>
        <v>FROZEN</v>
      </c>
    </row>
    <row r="115" spans="1:4" x14ac:dyDescent="0.25">
      <c r="A115" t="s">
        <v>89</v>
      </c>
      <c r="B115" t="s">
        <v>111</v>
      </c>
      <c r="C115" t="s">
        <v>149</v>
      </c>
      <c r="D115" t="str">
        <f>IF(M22="FROZEN","STOP",IF(AND(J22&gt;=RISK_ENGINE!$B$9,I22&gt;=RISK_ENGINE!$B$10),"RE-UP","HOLD"))</f>
        <v>RE-UP</v>
      </c>
    </row>
    <row r="116" spans="1:4" x14ac:dyDescent="0.25">
      <c r="A116" t="s">
        <v>89</v>
      </c>
      <c r="B116" t="s">
        <v>111</v>
      </c>
      <c r="C116" t="s">
        <v>150</v>
      </c>
      <c r="D116" t="str">
        <f>IF(OR(K23&gt;=RISK_ENGINE!$B$7,L23&lt;=RISK_ENGINE!$B$8),"FROZEN","ACTIVE")</f>
        <v>FROZEN</v>
      </c>
    </row>
    <row r="117" spans="1:4" x14ac:dyDescent="0.25">
      <c r="A117" t="s">
        <v>89</v>
      </c>
      <c r="B117" t="s">
        <v>111</v>
      </c>
      <c r="C117" t="s">
        <v>151</v>
      </c>
      <c r="D117" t="str">
        <f>IF(M23="FROZEN","STOP",IF(AND(J23&gt;=RISK_ENGINE!$B$9,I23&gt;=RISK_ENGINE!$B$10),"RE-UP","HOLD"))</f>
        <v>RE-UP</v>
      </c>
    </row>
    <row r="118" spans="1:4" x14ac:dyDescent="0.25">
      <c r="A118" t="s">
        <v>89</v>
      </c>
      <c r="B118" t="s">
        <v>111</v>
      </c>
      <c r="C118" t="s">
        <v>152</v>
      </c>
      <c r="D118" t="str">
        <f>IF(OR(K24&gt;=RISK_ENGINE!$B$7,L24&lt;=RISK_ENGINE!$B$8),"FROZEN","ACTIVE")</f>
        <v>FROZEN</v>
      </c>
    </row>
    <row r="119" spans="1:4" x14ac:dyDescent="0.25">
      <c r="A119" t="s">
        <v>89</v>
      </c>
      <c r="B119" t="s">
        <v>111</v>
      </c>
      <c r="C119" t="s">
        <v>153</v>
      </c>
      <c r="D119" t="str">
        <f>IF(M24="FROZEN","STOP",IF(AND(J24&gt;=RISK_ENGINE!$B$9,I24&gt;=RISK_ENGINE!$B$10),"RE-UP","HOLD"))</f>
        <v>RE-UP</v>
      </c>
    </row>
    <row r="120" spans="1:4" x14ac:dyDescent="0.25">
      <c r="A120" t="s">
        <v>89</v>
      </c>
      <c r="B120" t="s">
        <v>111</v>
      </c>
      <c r="C120" t="s">
        <v>154</v>
      </c>
      <c r="D120" t="str">
        <f>IF(OR(K25&gt;=RISK_ENGINE!$B$7,L25&lt;=RISK_ENGINE!$B$8),"FROZEN","ACTIVE")</f>
        <v>FROZEN</v>
      </c>
    </row>
    <row r="121" spans="1:4" x14ac:dyDescent="0.25">
      <c r="A121" t="s">
        <v>89</v>
      </c>
      <c r="B121" t="s">
        <v>111</v>
      </c>
      <c r="C121" t="s">
        <v>155</v>
      </c>
      <c r="D121" t="str">
        <f>IF(M25="FROZEN","STOP",IF(AND(J25&gt;=RISK_ENGINE!$B$9,I25&gt;=RISK_ENGINE!$B$10),"RE-UP","HOLD"))</f>
        <v>RE-UP</v>
      </c>
    </row>
    <row r="122" spans="1:4" x14ac:dyDescent="0.25">
      <c r="A122" t="s">
        <v>89</v>
      </c>
      <c r="B122" t="s">
        <v>56</v>
      </c>
      <c r="C122" t="s">
        <v>6</v>
      </c>
      <c r="D122" t="s">
        <v>156</v>
      </c>
    </row>
    <row r="123" spans="1:4" x14ac:dyDescent="0.25">
      <c r="A123" t="s">
        <v>89</v>
      </c>
      <c r="B123" t="s">
        <v>56</v>
      </c>
      <c r="C123" t="s">
        <v>30</v>
      </c>
      <c r="D123" t="s">
        <v>157</v>
      </c>
    </row>
    <row r="124" spans="1:4" x14ac:dyDescent="0.25">
      <c r="A124" t="s">
        <v>89</v>
      </c>
      <c r="B124" t="s">
        <v>56</v>
      </c>
      <c r="C124" t="s">
        <v>15</v>
      </c>
      <c r="D124" t="s">
        <v>158</v>
      </c>
    </row>
    <row r="125" spans="1:4" x14ac:dyDescent="0.25">
      <c r="A125" t="s">
        <v>89</v>
      </c>
      <c r="B125" t="s">
        <v>56</v>
      </c>
      <c r="C125" t="s">
        <v>159</v>
      </c>
      <c r="D125" t="s">
        <v>160</v>
      </c>
    </row>
    <row r="126" spans="1:4" x14ac:dyDescent="0.25">
      <c r="A126" t="s">
        <v>89</v>
      </c>
      <c r="B126" t="s">
        <v>52</v>
      </c>
      <c r="C126" t="s">
        <v>102</v>
      </c>
      <c r="D126" t="s">
        <v>161</v>
      </c>
    </row>
    <row r="127" spans="1:4" x14ac:dyDescent="0.25">
      <c r="A127" t="s">
        <v>89</v>
      </c>
      <c r="B127" t="s">
        <v>52</v>
      </c>
      <c r="C127" t="s">
        <v>162</v>
      </c>
      <c r="D127" t="s">
        <v>163</v>
      </c>
    </row>
    <row r="128" spans="1:4" x14ac:dyDescent="0.25">
      <c r="A128" t="s">
        <v>89</v>
      </c>
      <c r="B128" t="s">
        <v>52</v>
      </c>
      <c r="C128" t="s">
        <v>164</v>
      </c>
      <c r="D128" t="s">
        <v>165</v>
      </c>
    </row>
    <row r="129" spans="1:4" x14ac:dyDescent="0.25">
      <c r="A129" t="s">
        <v>89</v>
      </c>
      <c r="B129" t="s">
        <v>52</v>
      </c>
      <c r="C129" t="s">
        <v>166</v>
      </c>
      <c r="D129" t="s">
        <v>167</v>
      </c>
    </row>
    <row r="130" spans="1:4" x14ac:dyDescent="0.25">
      <c r="A130" t="s">
        <v>89</v>
      </c>
      <c r="B130" t="s">
        <v>52</v>
      </c>
      <c r="C130" t="s">
        <v>168</v>
      </c>
      <c r="D130" t="s">
        <v>169</v>
      </c>
    </row>
    <row r="131" spans="1:4" x14ac:dyDescent="0.25">
      <c r="A131" t="s">
        <v>89</v>
      </c>
      <c r="B131" t="s">
        <v>52</v>
      </c>
      <c r="C131" t="s">
        <v>170</v>
      </c>
      <c r="D131" t="s">
        <v>171</v>
      </c>
    </row>
    <row r="132" spans="1:4" x14ac:dyDescent="0.25">
      <c r="A132" t="s">
        <v>89</v>
      </c>
      <c r="B132" t="s">
        <v>52</v>
      </c>
      <c r="C132" t="s">
        <v>172</v>
      </c>
      <c r="D132" t="s">
        <v>173</v>
      </c>
    </row>
    <row r="133" spans="1:4" x14ac:dyDescent="0.25">
      <c r="A133" t="s">
        <v>89</v>
      </c>
      <c r="B133" t="s">
        <v>52</v>
      </c>
      <c r="C133" t="s">
        <v>174</v>
      </c>
      <c r="D133" t="s">
        <v>175</v>
      </c>
    </row>
    <row r="134" spans="1:4" x14ac:dyDescent="0.25">
      <c r="A134" t="s">
        <v>89</v>
      </c>
      <c r="B134" t="s">
        <v>52</v>
      </c>
      <c r="C134" t="s">
        <v>176</v>
      </c>
      <c r="D134" t="s">
        <v>177</v>
      </c>
    </row>
    <row r="135" spans="1:4" x14ac:dyDescent="0.25">
      <c r="A135" t="s">
        <v>89</v>
      </c>
      <c r="B135" t="s">
        <v>52</v>
      </c>
      <c r="C135" t="s">
        <v>178</v>
      </c>
      <c r="D135" t="s">
        <v>179</v>
      </c>
    </row>
    <row r="136" spans="1:4" x14ac:dyDescent="0.25">
      <c r="A136" t="s">
        <v>89</v>
      </c>
      <c r="B136" t="s">
        <v>52</v>
      </c>
      <c r="C136" t="s">
        <v>180</v>
      </c>
      <c r="D136" t="s">
        <v>181</v>
      </c>
    </row>
    <row r="137" spans="1:4" x14ac:dyDescent="0.25">
      <c r="A137" t="s">
        <v>89</v>
      </c>
      <c r="B137" t="s">
        <v>182</v>
      </c>
      <c r="C137" t="s">
        <v>6</v>
      </c>
      <c r="D137" t="s">
        <v>183</v>
      </c>
    </row>
    <row r="138" spans="1:4" x14ac:dyDescent="0.25">
      <c r="A138" t="s">
        <v>89</v>
      </c>
      <c r="B138" t="s">
        <v>182</v>
      </c>
      <c r="C138" t="s">
        <v>104</v>
      </c>
      <c r="D138" t="s">
        <v>184</v>
      </c>
    </row>
    <row r="139" spans="1:4" x14ac:dyDescent="0.25">
      <c r="A139" t="s">
        <v>89</v>
      </c>
      <c r="B139" t="s">
        <v>182</v>
      </c>
      <c r="C139" t="s">
        <v>185</v>
      </c>
      <c r="D139" t="s">
        <v>186</v>
      </c>
    </row>
    <row r="140" spans="1:4" x14ac:dyDescent="0.25">
      <c r="A140" t="s">
        <v>89</v>
      </c>
      <c r="B140" t="s">
        <v>187</v>
      </c>
      <c r="C140" t="s">
        <v>188</v>
      </c>
      <c r="D140" t="s">
        <v>189</v>
      </c>
    </row>
    <row r="141" spans="1:4" x14ac:dyDescent="0.25">
      <c r="A141" t="s">
        <v>89</v>
      </c>
      <c r="B141" t="s">
        <v>187</v>
      </c>
      <c r="C141" t="s">
        <v>190</v>
      </c>
      <c r="D141" t="s">
        <v>191</v>
      </c>
    </row>
    <row r="142" spans="1:4" x14ac:dyDescent="0.25">
      <c r="A142" t="s">
        <v>89</v>
      </c>
      <c r="B142" t="s">
        <v>192</v>
      </c>
      <c r="C142" t="s">
        <v>188</v>
      </c>
      <c r="D142" t="s">
        <v>189</v>
      </c>
    </row>
    <row r="143" spans="1:4" x14ac:dyDescent="0.25">
      <c r="A143" t="s">
        <v>89</v>
      </c>
      <c r="B143" t="s">
        <v>192</v>
      </c>
      <c r="C143" t="s">
        <v>25</v>
      </c>
      <c r="D143" t="s">
        <v>173</v>
      </c>
    </row>
    <row r="144" spans="1:4" x14ac:dyDescent="0.25">
      <c r="A144" t="s">
        <v>89</v>
      </c>
      <c r="B144" t="s">
        <v>192</v>
      </c>
      <c r="C144" t="s">
        <v>193</v>
      </c>
      <c r="D144" t="s">
        <v>194</v>
      </c>
    </row>
    <row r="145" spans="1:4" x14ac:dyDescent="0.25">
      <c r="A145" t="s">
        <v>89</v>
      </c>
      <c r="B145" t="s">
        <v>195</v>
      </c>
      <c r="C145" t="s">
        <v>29</v>
      </c>
      <c r="D145" t="e">
        <f>([7]EXIT_ENGINE!B28*[8]DOMINANCE_ENGINE!B15*[9]EXECUTION_ENGINE!B14)/(RISK_ENGINE!B16*[10]RETURNS_OWNERSHIP!B12)</f>
        <v>#REF!</v>
      </c>
    </row>
    <row r="146" spans="1:4" x14ac:dyDescent="0.25">
      <c r="A146" t="s">
        <v>89</v>
      </c>
      <c r="B146" t="s">
        <v>195</v>
      </c>
      <c r="C146" t="s">
        <v>196</v>
      </c>
      <c r="D146" t="s">
        <v>197</v>
      </c>
    </row>
    <row r="147" spans="1:4" x14ac:dyDescent="0.25">
      <c r="A147" t="s">
        <v>89</v>
      </c>
      <c r="B147" t="s">
        <v>195</v>
      </c>
      <c r="C147" t="s">
        <v>198</v>
      </c>
      <c r="D147">
        <f>RISK_ENGINE!B16</f>
        <v>0</v>
      </c>
    </row>
    <row r="148" spans="1:4" x14ac:dyDescent="0.25">
      <c r="A148" t="s">
        <v>89</v>
      </c>
      <c r="B148" t="s">
        <v>199</v>
      </c>
      <c r="C148" t="s">
        <v>200</v>
      </c>
      <c r="D148" t="s">
        <v>201</v>
      </c>
    </row>
    <row r="149" spans="1:4" x14ac:dyDescent="0.25">
      <c r="A149" t="s">
        <v>89</v>
      </c>
      <c r="B149" t="s">
        <v>199</v>
      </c>
      <c r="C149" t="s">
        <v>202</v>
      </c>
      <c r="D149" t="e">
        <f>([7]EXIT_ENGINE!B28*MIN(1,[9]EXECUTION_ENGINE!B14*B5)*MIN(1,[8]DOMINANCE_ENGINE!B15*C5))/(MAX(1,RISK_ENGINE!B16*D5)*E5)</f>
        <v>#REF!</v>
      </c>
    </row>
    <row r="150" spans="1:4" x14ac:dyDescent="0.25">
      <c r="A150" t="s">
        <v>89</v>
      </c>
      <c r="B150" t="s">
        <v>199</v>
      </c>
      <c r="C150" t="s">
        <v>203</v>
      </c>
      <c r="D150" t="e">
        <f>([7]EXIT_ENGINE!B28*MIN(1,[9]EXECUTION_ENGINE!B14*B6)*MIN(1,[8]DOMINANCE_ENGINE!B15*C6))/(MAX(1,RISK_ENGINE!B16*D6)*E6)</f>
        <v>#REF!</v>
      </c>
    </row>
    <row r="151" spans="1:4" x14ac:dyDescent="0.25">
      <c r="A151" t="s">
        <v>89</v>
      </c>
      <c r="B151" t="s">
        <v>199</v>
      </c>
      <c r="C151" t="s">
        <v>204</v>
      </c>
      <c r="D151" t="e">
        <f>([7]EXIT_ENGINE!B28*MIN(1,[9]EXECUTION_ENGINE!B14*B7)*MIN(1,[8]DOMINANCE_ENGINE!B15*C7))/(MAX(1,RISK_ENGINE!B16*D7)*E7)</f>
        <v>#REF!</v>
      </c>
    </row>
    <row r="152" spans="1:4" x14ac:dyDescent="0.25">
      <c r="A152" t="s">
        <v>89</v>
      </c>
      <c r="B152" t="s">
        <v>199</v>
      </c>
      <c r="C152" t="s">
        <v>205</v>
      </c>
      <c r="D152" t="e">
        <f>([7]EXIT_ENGINE!B28*MIN(1,[9]EXECUTION_ENGINE!B14*B8)*MIN(1,[8]DOMINANCE_ENGINE!B15*C8))/(MAX(1,RISK_ENGINE!B16*D8)*E8)</f>
        <v>#REF!</v>
      </c>
    </row>
    <row r="153" spans="1:4" x14ac:dyDescent="0.25">
      <c r="A153" t="s">
        <v>89</v>
      </c>
      <c r="B153" t="s">
        <v>206</v>
      </c>
      <c r="C153" t="s">
        <v>6</v>
      </c>
      <c r="D153" t="s">
        <v>207</v>
      </c>
    </row>
    <row r="154" spans="1:4" x14ac:dyDescent="0.25">
      <c r="A154" t="s">
        <v>89</v>
      </c>
      <c r="B154" t="s">
        <v>206</v>
      </c>
      <c r="C154" t="s">
        <v>8</v>
      </c>
      <c r="D154" t="s">
        <v>208</v>
      </c>
    </row>
    <row r="155" spans="1:4" x14ac:dyDescent="0.25">
      <c r="A155" t="s">
        <v>89</v>
      </c>
      <c r="B155" t="s">
        <v>206</v>
      </c>
      <c r="C155" t="s">
        <v>188</v>
      </c>
      <c r="D155" t="s">
        <v>209</v>
      </c>
    </row>
    <row r="156" spans="1:4" x14ac:dyDescent="0.25">
      <c r="A156" t="s">
        <v>89</v>
      </c>
      <c r="B156" t="s">
        <v>206</v>
      </c>
      <c r="C156" t="s">
        <v>210</v>
      </c>
      <c r="D156" t="s">
        <v>211</v>
      </c>
    </row>
    <row r="157" spans="1:4" x14ac:dyDescent="0.25">
      <c r="A157" t="s">
        <v>89</v>
      </c>
      <c r="B157" t="s">
        <v>206</v>
      </c>
      <c r="C157" t="s">
        <v>109</v>
      </c>
      <c r="D157" t="s">
        <v>212</v>
      </c>
    </row>
    <row r="158" spans="1:4" x14ac:dyDescent="0.25">
      <c r="A158" t="s">
        <v>89</v>
      </c>
      <c r="B158" t="s">
        <v>206</v>
      </c>
      <c r="C158" t="s">
        <v>193</v>
      </c>
      <c r="D158" t="s">
        <v>213</v>
      </c>
    </row>
    <row r="159" spans="1:4" x14ac:dyDescent="0.25">
      <c r="A159" t="s">
        <v>89</v>
      </c>
      <c r="B159" t="s">
        <v>206</v>
      </c>
      <c r="C159" t="s">
        <v>214</v>
      </c>
      <c r="D159" t="s">
        <v>215</v>
      </c>
    </row>
    <row r="160" spans="1:4" x14ac:dyDescent="0.25">
      <c r="A160" t="s">
        <v>89</v>
      </c>
      <c r="B160" t="s">
        <v>206</v>
      </c>
      <c r="C160" t="s">
        <v>216</v>
      </c>
      <c r="D160" t="s">
        <v>217</v>
      </c>
    </row>
    <row r="161" spans="1:4" x14ac:dyDescent="0.25">
      <c r="A161" t="s">
        <v>89</v>
      </c>
      <c r="B161" t="s">
        <v>206</v>
      </c>
      <c r="C161" t="s">
        <v>218</v>
      </c>
      <c r="D161" t="s">
        <v>56</v>
      </c>
    </row>
    <row r="162" spans="1:4" x14ac:dyDescent="0.25">
      <c r="A162" t="s">
        <v>89</v>
      </c>
      <c r="B162" t="s">
        <v>206</v>
      </c>
      <c r="C162" t="s">
        <v>219</v>
      </c>
      <c r="D162" t="s">
        <v>220</v>
      </c>
    </row>
    <row r="163" spans="1:4" x14ac:dyDescent="0.25">
      <c r="A163" t="s">
        <v>89</v>
      </c>
      <c r="B163" t="s">
        <v>221</v>
      </c>
      <c r="C163" t="s">
        <v>30</v>
      </c>
      <c r="D163" t="s">
        <v>222</v>
      </c>
    </row>
    <row r="164" spans="1:4" x14ac:dyDescent="0.25">
      <c r="A164" t="s">
        <v>89</v>
      </c>
      <c r="B164" t="s">
        <v>221</v>
      </c>
      <c r="C164" t="s">
        <v>223</v>
      </c>
      <c r="D164" t="s">
        <v>224</v>
      </c>
    </row>
    <row r="165" spans="1:4" x14ac:dyDescent="0.25">
      <c r="A165" t="s">
        <v>89</v>
      </c>
      <c r="B165" t="s">
        <v>225</v>
      </c>
      <c r="C165" t="s">
        <v>6</v>
      </c>
      <c r="D165" t="s">
        <v>226</v>
      </c>
    </row>
    <row r="166" spans="1:4" x14ac:dyDescent="0.25">
      <c r="A166" t="s">
        <v>89</v>
      </c>
      <c r="B166" t="s">
        <v>225</v>
      </c>
      <c r="C166" t="s">
        <v>15</v>
      </c>
      <c r="D166" t="s">
        <v>227</v>
      </c>
    </row>
    <row r="167" spans="1:4" x14ac:dyDescent="0.25">
      <c r="A167" t="s">
        <v>89</v>
      </c>
      <c r="B167" t="s">
        <v>225</v>
      </c>
      <c r="C167" t="s">
        <v>190</v>
      </c>
      <c r="D167" t="s">
        <v>228</v>
      </c>
    </row>
    <row r="168" spans="1:4" x14ac:dyDescent="0.25">
      <c r="A168" t="s">
        <v>89</v>
      </c>
      <c r="B168" t="s">
        <v>225</v>
      </c>
      <c r="C168" t="s">
        <v>229</v>
      </c>
      <c r="D168" t="s">
        <v>230</v>
      </c>
    </row>
    <row r="169" spans="1:4" x14ac:dyDescent="0.25">
      <c r="A169" t="s">
        <v>231</v>
      </c>
      <c r="B169" t="s">
        <v>78</v>
      </c>
      <c r="C169" t="s">
        <v>62</v>
      </c>
      <c r="D169" t="s">
        <v>232</v>
      </c>
    </row>
    <row r="170" spans="1:4" x14ac:dyDescent="0.25">
      <c r="A170" t="s">
        <v>231</v>
      </c>
      <c r="B170" t="s">
        <v>78</v>
      </c>
      <c r="C170" t="s">
        <v>29</v>
      </c>
      <c r="D170" t="s">
        <v>233</v>
      </c>
    </row>
    <row r="171" spans="1:4" x14ac:dyDescent="0.25">
      <c r="A171" t="s">
        <v>231</v>
      </c>
      <c r="B171" t="s">
        <v>78</v>
      </c>
      <c r="C171" t="s">
        <v>33</v>
      </c>
      <c r="D171" t="s">
        <v>234</v>
      </c>
    </row>
    <row r="172" spans="1:4" x14ac:dyDescent="0.25">
      <c r="A172" t="s">
        <v>231</v>
      </c>
      <c r="B172" t="s">
        <v>52</v>
      </c>
      <c r="C172" t="s">
        <v>6</v>
      </c>
      <c r="D172" t="s">
        <v>53</v>
      </c>
    </row>
    <row r="173" spans="1:4" x14ac:dyDescent="0.25">
      <c r="A173" t="s">
        <v>231</v>
      </c>
      <c r="B173" t="s">
        <v>52</v>
      </c>
      <c r="C173" t="s">
        <v>54</v>
      </c>
      <c r="D173" t="s">
        <v>55</v>
      </c>
    </row>
    <row r="174" spans="1:4" x14ac:dyDescent="0.25">
      <c r="A174" t="s">
        <v>231</v>
      </c>
      <c r="B174" t="s">
        <v>235</v>
      </c>
      <c r="C174" t="s">
        <v>37</v>
      </c>
      <c r="D174" t="s">
        <v>236</v>
      </c>
    </row>
    <row r="175" spans="1:4" x14ac:dyDescent="0.25">
      <c r="A175" t="s">
        <v>231</v>
      </c>
      <c r="B175" t="s">
        <v>235</v>
      </c>
      <c r="C175" t="s">
        <v>38</v>
      </c>
      <c r="D175" t="s">
        <v>237</v>
      </c>
    </row>
    <row r="176" spans="1:4" x14ac:dyDescent="0.25">
      <c r="A176" t="s">
        <v>231</v>
      </c>
      <c r="B176" t="s">
        <v>238</v>
      </c>
      <c r="C176" t="s">
        <v>10</v>
      </c>
      <c r="D176" t="s">
        <v>239</v>
      </c>
    </row>
    <row r="177" spans="1:4" x14ac:dyDescent="0.25">
      <c r="A177" t="s">
        <v>231</v>
      </c>
      <c r="B177" t="s">
        <v>238</v>
      </c>
      <c r="C177" t="s">
        <v>216</v>
      </c>
      <c r="D177" t="s">
        <v>240</v>
      </c>
    </row>
    <row r="178" spans="1:4" x14ac:dyDescent="0.25">
      <c r="A178" t="s">
        <v>231</v>
      </c>
      <c r="B178" t="s">
        <v>82</v>
      </c>
      <c r="C178" t="s">
        <v>19</v>
      </c>
      <c r="D178" t="s">
        <v>241</v>
      </c>
    </row>
    <row r="179" spans="1:4" x14ac:dyDescent="0.25">
      <c r="A179" t="s">
        <v>231</v>
      </c>
      <c r="B179" t="s">
        <v>82</v>
      </c>
      <c r="C179" t="s">
        <v>25</v>
      </c>
      <c r="D179" t="s">
        <v>242</v>
      </c>
    </row>
    <row r="180" spans="1:4" x14ac:dyDescent="0.25">
      <c r="A180" t="s">
        <v>231</v>
      </c>
      <c r="B180" t="s">
        <v>82</v>
      </c>
      <c r="C180" t="s">
        <v>243</v>
      </c>
      <c r="D180" t="s">
        <v>244</v>
      </c>
    </row>
    <row r="181" spans="1:4" x14ac:dyDescent="0.25">
      <c r="A181" t="s">
        <v>231</v>
      </c>
      <c r="B181" t="s">
        <v>82</v>
      </c>
      <c r="C181" t="s">
        <v>196</v>
      </c>
      <c r="D181" t="s">
        <v>245</v>
      </c>
    </row>
    <row r="182" spans="1:4" x14ac:dyDescent="0.25">
      <c r="A182" t="s">
        <v>231</v>
      </c>
      <c r="B182" t="s">
        <v>82</v>
      </c>
      <c r="C182" t="s">
        <v>216</v>
      </c>
      <c r="D182" t="s">
        <v>246</v>
      </c>
    </row>
    <row r="183" spans="1:4" x14ac:dyDescent="0.25">
      <c r="A183" t="s">
        <v>231</v>
      </c>
      <c r="B183" t="s">
        <v>56</v>
      </c>
      <c r="C183" t="s">
        <v>6</v>
      </c>
      <c r="D183" t="s">
        <v>247</v>
      </c>
    </row>
    <row r="184" spans="1:4" x14ac:dyDescent="0.25">
      <c r="A184" t="s">
        <v>231</v>
      </c>
      <c r="B184" t="s">
        <v>56</v>
      </c>
      <c r="C184" t="s">
        <v>46</v>
      </c>
      <c r="D184" t="s">
        <v>248</v>
      </c>
    </row>
    <row r="185" spans="1:4" x14ac:dyDescent="0.25">
      <c r="A185" t="s">
        <v>231</v>
      </c>
      <c r="B185" t="s">
        <v>56</v>
      </c>
      <c r="C185" t="s">
        <v>8</v>
      </c>
      <c r="D185" t="s">
        <v>249</v>
      </c>
    </row>
    <row r="186" spans="1:4" x14ac:dyDescent="0.25">
      <c r="A186" t="s">
        <v>231</v>
      </c>
      <c r="B186" t="s">
        <v>56</v>
      </c>
      <c r="C186" t="s">
        <v>30</v>
      </c>
      <c r="D186" t="s">
        <v>250</v>
      </c>
    </row>
    <row r="187" spans="1:4" x14ac:dyDescent="0.25">
      <c r="A187" t="s">
        <v>231</v>
      </c>
      <c r="B187" t="s">
        <v>56</v>
      </c>
      <c r="C187" t="s">
        <v>10</v>
      </c>
      <c r="D187" t="s">
        <v>251</v>
      </c>
    </row>
    <row r="188" spans="1:4" x14ac:dyDescent="0.25">
      <c r="A188" t="s">
        <v>231</v>
      </c>
      <c r="B188" t="s">
        <v>56</v>
      </c>
      <c r="C188" t="s">
        <v>12</v>
      </c>
      <c r="D188" t="s">
        <v>252</v>
      </c>
    </row>
    <row r="189" spans="1:4" x14ac:dyDescent="0.25">
      <c r="A189" t="s">
        <v>231</v>
      </c>
      <c r="B189" t="s">
        <v>56</v>
      </c>
      <c r="C189" t="s">
        <v>243</v>
      </c>
      <c r="D189" t="s">
        <v>253</v>
      </c>
    </row>
    <row r="190" spans="1:4" x14ac:dyDescent="0.25">
      <c r="A190" t="s">
        <v>231</v>
      </c>
      <c r="B190" t="s">
        <v>56</v>
      </c>
      <c r="C190" t="s">
        <v>254</v>
      </c>
      <c r="D190" t="s">
        <v>255</v>
      </c>
    </row>
    <row r="191" spans="1:4" x14ac:dyDescent="0.25">
      <c r="A191" t="s">
        <v>231</v>
      </c>
      <c r="B191" t="s">
        <v>56</v>
      </c>
      <c r="C191" t="s">
        <v>196</v>
      </c>
      <c r="D191" t="s">
        <v>256</v>
      </c>
    </row>
    <row r="192" spans="1:4" x14ac:dyDescent="0.25">
      <c r="A192" t="s">
        <v>231</v>
      </c>
      <c r="B192" t="s">
        <v>56</v>
      </c>
      <c r="C192" t="s">
        <v>216</v>
      </c>
      <c r="D192" t="s">
        <v>257</v>
      </c>
    </row>
    <row r="193" spans="1:4" x14ac:dyDescent="0.25">
      <c r="A193" t="s">
        <v>231</v>
      </c>
      <c r="B193" t="s">
        <v>56</v>
      </c>
      <c r="C193" t="s">
        <v>258</v>
      </c>
      <c r="D193" t="s">
        <v>259</v>
      </c>
    </row>
    <row r="194" spans="1:4" x14ac:dyDescent="0.25">
      <c r="A194" t="s">
        <v>231</v>
      </c>
      <c r="B194" t="s">
        <v>56</v>
      </c>
      <c r="C194" t="s">
        <v>229</v>
      </c>
      <c r="D194" t="s">
        <v>260</v>
      </c>
    </row>
    <row r="195" spans="1:4" x14ac:dyDescent="0.25">
      <c r="A195" t="s">
        <v>231</v>
      </c>
      <c r="B195" t="s">
        <v>56</v>
      </c>
      <c r="C195" t="s">
        <v>261</v>
      </c>
      <c r="D195" t="s">
        <v>262</v>
      </c>
    </row>
    <row r="196" spans="1:4" x14ac:dyDescent="0.25">
      <c r="A196" t="s">
        <v>231</v>
      </c>
      <c r="B196" t="s">
        <v>263</v>
      </c>
      <c r="C196" t="s">
        <v>264</v>
      </c>
      <c r="D196" t="s">
        <v>265</v>
      </c>
    </row>
    <row r="197" spans="1:4" x14ac:dyDescent="0.25">
      <c r="A197" t="s">
        <v>231</v>
      </c>
      <c r="B197" t="s">
        <v>263</v>
      </c>
      <c r="C197" t="s">
        <v>266</v>
      </c>
      <c r="D197" t="e">
        <f>[11]SELL_PROFILE_FIXED!M2</f>
        <v>#REF!</v>
      </c>
    </row>
    <row r="198" spans="1:4" x14ac:dyDescent="0.25">
      <c r="A198" t="s">
        <v>231</v>
      </c>
      <c r="B198" t="s">
        <v>263</v>
      </c>
      <c r="C198" t="s">
        <v>43</v>
      </c>
      <c r="D198" t="e">
        <f>[11]SELL_PROFILE_FIXED!N2</f>
        <v>#REF!</v>
      </c>
    </row>
    <row r="199" spans="1:4" x14ac:dyDescent="0.25">
      <c r="A199" t="s">
        <v>231</v>
      </c>
      <c r="B199" t="s">
        <v>263</v>
      </c>
      <c r="C199" t="s">
        <v>8</v>
      </c>
      <c r="D199" t="s">
        <v>267</v>
      </c>
    </row>
    <row r="200" spans="1:4" x14ac:dyDescent="0.25">
      <c r="A200" t="s">
        <v>231</v>
      </c>
      <c r="B200" t="s">
        <v>263</v>
      </c>
      <c r="C200" t="s">
        <v>223</v>
      </c>
      <c r="D200" t="s">
        <v>268</v>
      </c>
    </row>
    <row r="201" spans="1:4" x14ac:dyDescent="0.25">
      <c r="A201" t="s">
        <v>231</v>
      </c>
      <c r="B201" t="s">
        <v>67</v>
      </c>
      <c r="C201" t="s">
        <v>37</v>
      </c>
      <c r="D201" t="s">
        <v>24</v>
      </c>
    </row>
    <row r="202" spans="1:4" x14ac:dyDescent="0.25">
      <c r="A202" t="s">
        <v>231</v>
      </c>
      <c r="B202" t="s">
        <v>269</v>
      </c>
      <c r="C202" t="s">
        <v>19</v>
      </c>
      <c r="D202" t="s">
        <v>270</v>
      </c>
    </row>
    <row r="203" spans="1:4" x14ac:dyDescent="0.25">
      <c r="A203" t="s">
        <v>231</v>
      </c>
      <c r="B203" t="s">
        <v>269</v>
      </c>
      <c r="C203" t="s">
        <v>46</v>
      </c>
      <c r="D203" t="s">
        <v>271</v>
      </c>
    </row>
    <row r="204" spans="1:4" x14ac:dyDescent="0.25">
      <c r="A204" t="s">
        <v>231</v>
      </c>
      <c r="B204" t="s">
        <v>269</v>
      </c>
      <c r="C204" t="s">
        <v>190</v>
      </c>
      <c r="D204" t="s">
        <v>267</v>
      </c>
    </row>
    <row r="205" spans="1:4" x14ac:dyDescent="0.25">
      <c r="A205" t="s">
        <v>231</v>
      </c>
      <c r="B205" t="s">
        <v>84</v>
      </c>
      <c r="C205" t="s">
        <v>37</v>
      </c>
      <c r="D205" t="s">
        <v>84</v>
      </c>
    </row>
    <row r="206" spans="1:4" x14ac:dyDescent="0.25">
      <c r="A206" t="s">
        <v>231</v>
      </c>
      <c r="B206" t="s">
        <v>84</v>
      </c>
      <c r="C206" t="s">
        <v>19</v>
      </c>
      <c r="D206" t="s">
        <v>272</v>
      </c>
    </row>
    <row r="207" spans="1:4" x14ac:dyDescent="0.25">
      <c r="A207" t="s">
        <v>231</v>
      </c>
      <c r="B207" t="s">
        <v>84</v>
      </c>
      <c r="C207" t="s">
        <v>42</v>
      </c>
      <c r="D207" t="s">
        <v>273</v>
      </c>
    </row>
    <row r="208" spans="1:4" x14ac:dyDescent="0.25">
      <c r="A208" t="s">
        <v>231</v>
      </c>
      <c r="B208" t="s">
        <v>84</v>
      </c>
      <c r="C208" t="s">
        <v>274</v>
      </c>
      <c r="D208" t="s">
        <v>275</v>
      </c>
    </row>
    <row r="209" spans="1:4" x14ac:dyDescent="0.25">
      <c r="A209" t="s">
        <v>231</v>
      </c>
      <c r="B209" t="s">
        <v>84</v>
      </c>
      <c r="C209" t="s">
        <v>200</v>
      </c>
      <c r="D209" t="s">
        <v>276</v>
      </c>
    </row>
    <row r="210" spans="1:4" x14ac:dyDescent="0.25">
      <c r="A210" t="s">
        <v>231</v>
      </c>
      <c r="B210" t="s">
        <v>84</v>
      </c>
      <c r="C210" t="s">
        <v>30</v>
      </c>
      <c r="D210" t="s">
        <v>277</v>
      </c>
    </row>
    <row r="211" spans="1:4" x14ac:dyDescent="0.25">
      <c r="A211" t="s">
        <v>231</v>
      </c>
      <c r="B211" t="s">
        <v>84</v>
      </c>
      <c r="C211" t="s">
        <v>278</v>
      </c>
      <c r="D211" t="s">
        <v>279</v>
      </c>
    </row>
    <row r="212" spans="1:4" x14ac:dyDescent="0.25">
      <c r="A212" t="s">
        <v>231</v>
      </c>
      <c r="B212" t="s">
        <v>84</v>
      </c>
      <c r="C212" t="s">
        <v>280</v>
      </c>
      <c r="D212" t="s">
        <v>281</v>
      </c>
    </row>
    <row r="213" spans="1:4" x14ac:dyDescent="0.25">
      <c r="A213" t="s">
        <v>231</v>
      </c>
      <c r="B213" t="s">
        <v>84</v>
      </c>
      <c r="C213" t="s">
        <v>15</v>
      </c>
      <c r="D213" t="s">
        <v>282</v>
      </c>
    </row>
    <row r="214" spans="1:4" x14ac:dyDescent="0.25">
      <c r="A214" t="s">
        <v>231</v>
      </c>
      <c r="B214" t="s">
        <v>84</v>
      </c>
      <c r="C214" t="s">
        <v>283</v>
      </c>
      <c r="D214" t="s">
        <v>284</v>
      </c>
    </row>
    <row r="215" spans="1:4" x14ac:dyDescent="0.25">
      <c r="A215" t="s">
        <v>231</v>
      </c>
      <c r="B215" t="s">
        <v>64</v>
      </c>
      <c r="C215" t="s">
        <v>6</v>
      </c>
      <c r="D215" t="s">
        <v>285</v>
      </c>
    </row>
    <row r="216" spans="1:4" x14ac:dyDescent="0.25">
      <c r="A216" t="s">
        <v>231</v>
      </c>
      <c r="B216" t="s">
        <v>64</v>
      </c>
      <c r="C216" t="s">
        <v>54</v>
      </c>
      <c r="D216" t="s">
        <v>286</v>
      </c>
    </row>
    <row r="217" spans="1:4" x14ac:dyDescent="0.25">
      <c r="A217" t="s">
        <v>231</v>
      </c>
      <c r="B217" t="s">
        <v>64</v>
      </c>
      <c r="C217" t="s">
        <v>38</v>
      </c>
      <c r="D217" t="s">
        <v>287</v>
      </c>
    </row>
    <row r="218" spans="1:4" x14ac:dyDescent="0.25">
      <c r="A218" t="s">
        <v>231</v>
      </c>
      <c r="B218" t="s">
        <v>64</v>
      </c>
      <c r="C218" t="s">
        <v>71</v>
      </c>
      <c r="D218" t="s">
        <v>288</v>
      </c>
    </row>
    <row r="219" spans="1:4" x14ac:dyDescent="0.25">
      <c r="A219" t="s">
        <v>231</v>
      </c>
      <c r="B219" t="s">
        <v>64</v>
      </c>
      <c r="C219" t="s">
        <v>58</v>
      </c>
      <c r="D219" t="s">
        <v>289</v>
      </c>
    </row>
    <row r="220" spans="1:4" x14ac:dyDescent="0.25">
      <c r="A220" t="s">
        <v>231</v>
      </c>
      <c r="B220" t="s">
        <v>64</v>
      </c>
      <c r="C220" t="s">
        <v>39</v>
      </c>
      <c r="D220" t="s">
        <v>290</v>
      </c>
    </row>
    <row r="221" spans="1:4" x14ac:dyDescent="0.25">
      <c r="A221" t="s">
        <v>231</v>
      </c>
      <c r="B221" t="s">
        <v>64</v>
      </c>
      <c r="C221" t="s">
        <v>291</v>
      </c>
      <c r="D221" t="s">
        <v>292</v>
      </c>
    </row>
    <row r="222" spans="1:4" x14ac:dyDescent="0.25">
      <c r="A222" t="s">
        <v>231</v>
      </c>
      <c r="B222" t="s">
        <v>64</v>
      </c>
      <c r="C222" t="s">
        <v>293</v>
      </c>
      <c r="D222" t="s">
        <v>294</v>
      </c>
    </row>
    <row r="223" spans="1:4" x14ac:dyDescent="0.25">
      <c r="A223" t="s">
        <v>231</v>
      </c>
      <c r="B223" t="s">
        <v>64</v>
      </c>
      <c r="C223" t="s">
        <v>295</v>
      </c>
      <c r="D223" t="s">
        <v>296</v>
      </c>
    </row>
    <row r="224" spans="1:4" x14ac:dyDescent="0.25">
      <c r="A224" t="s">
        <v>231</v>
      </c>
      <c r="B224" t="s">
        <v>64</v>
      </c>
      <c r="C224" t="s">
        <v>297</v>
      </c>
      <c r="D224" t="s">
        <v>298</v>
      </c>
    </row>
    <row r="225" spans="1:4" x14ac:dyDescent="0.25">
      <c r="A225" t="s">
        <v>231</v>
      </c>
      <c r="B225" t="s">
        <v>64</v>
      </c>
      <c r="C225" t="s">
        <v>299</v>
      </c>
      <c r="D225" t="s">
        <v>300</v>
      </c>
    </row>
    <row r="226" spans="1:4" x14ac:dyDescent="0.25">
      <c r="A226" t="s">
        <v>231</v>
      </c>
      <c r="B226" t="s">
        <v>64</v>
      </c>
      <c r="C226" t="s">
        <v>301</v>
      </c>
      <c r="D226" t="s">
        <v>302</v>
      </c>
    </row>
    <row r="227" spans="1:4" x14ac:dyDescent="0.25">
      <c r="A227" t="s">
        <v>231</v>
      </c>
      <c r="B227" t="s">
        <v>64</v>
      </c>
      <c r="C227" t="s">
        <v>303</v>
      </c>
      <c r="D227" t="s">
        <v>66</v>
      </c>
    </row>
    <row r="228" spans="1:4" x14ac:dyDescent="0.25">
      <c r="A228" t="s">
        <v>231</v>
      </c>
      <c r="B228" t="s">
        <v>64</v>
      </c>
      <c r="C228" t="s">
        <v>19</v>
      </c>
      <c r="D228" t="e">
        <f>[12]SELL_PROFILE!B2</f>
        <v>#REF!</v>
      </c>
    </row>
    <row r="229" spans="1:4" x14ac:dyDescent="0.25">
      <c r="A229" t="s">
        <v>231</v>
      </c>
      <c r="B229" t="s">
        <v>64</v>
      </c>
      <c r="C229" t="s">
        <v>42</v>
      </c>
      <c r="D229" t="b">
        <f>RISK_ENGINE!B2="OK"</f>
        <v>0</v>
      </c>
    </row>
    <row r="230" spans="1:4" x14ac:dyDescent="0.25">
      <c r="A230" t="s">
        <v>231</v>
      </c>
      <c r="B230" t="s">
        <v>64</v>
      </c>
      <c r="C230" t="s">
        <v>266</v>
      </c>
      <c r="D230" t="e">
        <f>IF(SELL_ALLOWED,0.3,0)</f>
        <v>#NAME?</v>
      </c>
    </row>
    <row r="231" spans="1:4" x14ac:dyDescent="0.25">
      <c r="A231" t="s">
        <v>231</v>
      </c>
      <c r="B231" t="s">
        <v>64</v>
      </c>
      <c r="C231" t="s">
        <v>304</v>
      </c>
      <c r="D231" t="e">
        <f>AND(RISK_ENGINE!B2="ALERT",[13]MARKET!B2="VOL_SPIKE")</f>
        <v>#REF!</v>
      </c>
    </row>
    <row r="232" spans="1:4" x14ac:dyDescent="0.25">
      <c r="A232" t="s">
        <v>231</v>
      </c>
      <c r="B232" t="s">
        <v>305</v>
      </c>
      <c r="C232" t="s">
        <v>15</v>
      </c>
      <c r="D232" t="s">
        <v>306</v>
      </c>
    </row>
    <row r="233" spans="1:4" x14ac:dyDescent="0.25">
      <c r="A233" t="s">
        <v>231</v>
      </c>
      <c r="B233" t="s">
        <v>305</v>
      </c>
      <c r="C233" t="s">
        <v>12</v>
      </c>
      <c r="D233" t="s">
        <v>307</v>
      </c>
    </row>
    <row r="234" spans="1:4" x14ac:dyDescent="0.25">
      <c r="A234" t="s">
        <v>231</v>
      </c>
      <c r="B234" t="s">
        <v>305</v>
      </c>
      <c r="C234" t="s">
        <v>308</v>
      </c>
      <c r="D234" t="e">
        <f>SELL_ALLOWED_FINAL</f>
        <v>#NAME?</v>
      </c>
    </row>
    <row r="235" spans="1:4" x14ac:dyDescent="0.25">
      <c r="A235" t="s">
        <v>231</v>
      </c>
      <c r="B235" t="s">
        <v>309</v>
      </c>
      <c r="C235" t="s">
        <v>30</v>
      </c>
      <c r="D235" t="s">
        <v>286</v>
      </c>
    </row>
    <row r="236" spans="1:4" x14ac:dyDescent="0.25">
      <c r="A236" t="s">
        <v>231</v>
      </c>
      <c r="B236" t="s">
        <v>310</v>
      </c>
      <c r="C236" t="s">
        <v>6</v>
      </c>
      <c r="D236" t="s">
        <v>311</v>
      </c>
    </row>
    <row r="237" spans="1:4" x14ac:dyDescent="0.25">
      <c r="A237" t="s">
        <v>231</v>
      </c>
      <c r="B237" t="s">
        <v>310</v>
      </c>
      <c r="C237" t="s">
        <v>54</v>
      </c>
      <c r="D237" t="e">
        <f>AND(SELL_ALLOWED_FINAL,SELL_CONFIDENCE_OK,TIME_FLOOR_OK)</f>
        <v>#NAME?</v>
      </c>
    </row>
    <row r="238" spans="1:4" x14ac:dyDescent="0.25">
      <c r="A238" t="s">
        <v>231</v>
      </c>
      <c r="B238" t="s">
        <v>310</v>
      </c>
      <c r="C238" t="s">
        <v>312</v>
      </c>
      <c r="D238" t="s">
        <v>313</v>
      </c>
    </row>
    <row r="239" spans="1:4" x14ac:dyDescent="0.25">
      <c r="A239" t="s">
        <v>231</v>
      </c>
      <c r="B239" t="s">
        <v>61</v>
      </c>
      <c r="C239" t="s">
        <v>291</v>
      </c>
      <c r="D239" t="s">
        <v>314</v>
      </c>
    </row>
    <row r="240" spans="1:4" x14ac:dyDescent="0.25">
      <c r="A240" t="s">
        <v>315</v>
      </c>
      <c r="B240" t="s">
        <v>78</v>
      </c>
      <c r="C240" t="s">
        <v>62</v>
      </c>
      <c r="D240" t="s">
        <v>232</v>
      </c>
    </row>
    <row r="241" spans="1:4" x14ac:dyDescent="0.25">
      <c r="A241" t="s">
        <v>315</v>
      </c>
      <c r="B241" t="s">
        <v>78</v>
      </c>
      <c r="C241" t="s">
        <v>29</v>
      </c>
      <c r="D241" t="s">
        <v>233</v>
      </c>
    </row>
    <row r="242" spans="1:4" x14ac:dyDescent="0.25">
      <c r="A242" t="s">
        <v>315</v>
      </c>
      <c r="B242" t="s">
        <v>78</v>
      </c>
      <c r="C242" t="s">
        <v>33</v>
      </c>
      <c r="D242" t="s">
        <v>234</v>
      </c>
    </row>
    <row r="243" spans="1:4" x14ac:dyDescent="0.25">
      <c r="A243" t="s">
        <v>315</v>
      </c>
      <c r="B243" t="s">
        <v>52</v>
      </c>
      <c r="C243" t="s">
        <v>6</v>
      </c>
      <c r="D243" t="s">
        <v>53</v>
      </c>
    </row>
    <row r="244" spans="1:4" x14ac:dyDescent="0.25">
      <c r="A244" t="s">
        <v>315</v>
      </c>
      <c r="B244" t="s">
        <v>52</v>
      </c>
      <c r="C244" t="s">
        <v>54</v>
      </c>
      <c r="D244" t="s">
        <v>55</v>
      </c>
    </row>
    <row r="245" spans="1:4" x14ac:dyDescent="0.25">
      <c r="A245" t="s">
        <v>315</v>
      </c>
      <c r="B245" t="s">
        <v>235</v>
      </c>
      <c r="C245" t="s">
        <v>37</v>
      </c>
      <c r="D245" t="s">
        <v>236</v>
      </c>
    </row>
    <row r="246" spans="1:4" x14ac:dyDescent="0.25">
      <c r="A246" t="s">
        <v>315</v>
      </c>
      <c r="B246" t="s">
        <v>235</v>
      </c>
      <c r="C246" t="s">
        <v>38</v>
      </c>
      <c r="D246" t="s">
        <v>237</v>
      </c>
    </row>
    <row r="247" spans="1:4" x14ac:dyDescent="0.25">
      <c r="A247" t="s">
        <v>315</v>
      </c>
      <c r="B247" t="s">
        <v>238</v>
      </c>
      <c r="C247" t="s">
        <v>10</v>
      </c>
      <c r="D247" t="s">
        <v>239</v>
      </c>
    </row>
    <row r="248" spans="1:4" x14ac:dyDescent="0.25">
      <c r="A248" t="s">
        <v>315</v>
      </c>
      <c r="B248" t="s">
        <v>238</v>
      </c>
      <c r="C248" t="s">
        <v>216</v>
      </c>
      <c r="D248" t="s">
        <v>240</v>
      </c>
    </row>
    <row r="249" spans="1:4" x14ac:dyDescent="0.25">
      <c r="A249" t="s">
        <v>315</v>
      </c>
      <c r="B249" t="s">
        <v>82</v>
      </c>
      <c r="C249" t="s">
        <v>19</v>
      </c>
      <c r="D249" t="s">
        <v>241</v>
      </c>
    </row>
    <row r="250" spans="1:4" x14ac:dyDescent="0.25">
      <c r="A250" t="s">
        <v>315</v>
      </c>
      <c r="B250" t="s">
        <v>82</v>
      </c>
      <c r="C250" t="s">
        <v>25</v>
      </c>
      <c r="D250" t="s">
        <v>242</v>
      </c>
    </row>
    <row r="251" spans="1:4" x14ac:dyDescent="0.25">
      <c r="A251" t="s">
        <v>315</v>
      </c>
      <c r="B251" t="s">
        <v>82</v>
      </c>
      <c r="C251" t="s">
        <v>243</v>
      </c>
      <c r="D251" t="s">
        <v>244</v>
      </c>
    </row>
    <row r="252" spans="1:4" x14ac:dyDescent="0.25">
      <c r="A252" t="s">
        <v>315</v>
      </c>
      <c r="B252" t="s">
        <v>82</v>
      </c>
      <c r="C252" t="s">
        <v>196</v>
      </c>
      <c r="D252" t="s">
        <v>245</v>
      </c>
    </row>
    <row r="253" spans="1:4" x14ac:dyDescent="0.25">
      <c r="A253" t="s">
        <v>315</v>
      </c>
      <c r="B253" t="s">
        <v>82</v>
      </c>
      <c r="C253" t="s">
        <v>216</v>
      </c>
      <c r="D253" t="s">
        <v>246</v>
      </c>
    </row>
    <row r="254" spans="1:4" x14ac:dyDescent="0.25">
      <c r="A254" t="s">
        <v>315</v>
      </c>
      <c r="B254" t="s">
        <v>56</v>
      </c>
      <c r="C254" t="s">
        <v>6</v>
      </c>
      <c r="D254" t="s">
        <v>247</v>
      </c>
    </row>
    <row r="255" spans="1:4" x14ac:dyDescent="0.25">
      <c r="A255" t="s">
        <v>315</v>
      </c>
      <c r="B255" t="s">
        <v>56</v>
      </c>
      <c r="C255" t="s">
        <v>46</v>
      </c>
      <c r="D255" t="s">
        <v>248</v>
      </c>
    </row>
    <row r="256" spans="1:4" x14ac:dyDescent="0.25">
      <c r="A256" t="s">
        <v>315</v>
      </c>
      <c r="B256" t="s">
        <v>56</v>
      </c>
      <c r="C256" t="s">
        <v>8</v>
      </c>
      <c r="D256" t="s">
        <v>249</v>
      </c>
    </row>
    <row r="257" spans="1:4" x14ac:dyDescent="0.25">
      <c r="A257" t="s">
        <v>315</v>
      </c>
      <c r="B257" t="s">
        <v>56</v>
      </c>
      <c r="C257" t="s">
        <v>30</v>
      </c>
      <c r="D257" t="s">
        <v>250</v>
      </c>
    </row>
    <row r="258" spans="1:4" x14ac:dyDescent="0.25">
      <c r="A258" t="s">
        <v>315</v>
      </c>
      <c r="B258" t="s">
        <v>56</v>
      </c>
      <c r="C258" t="s">
        <v>10</v>
      </c>
      <c r="D258" t="s">
        <v>251</v>
      </c>
    </row>
    <row r="259" spans="1:4" x14ac:dyDescent="0.25">
      <c r="A259" t="s">
        <v>315</v>
      </c>
      <c r="B259" t="s">
        <v>56</v>
      </c>
      <c r="C259" t="s">
        <v>12</v>
      </c>
      <c r="D259" t="s">
        <v>252</v>
      </c>
    </row>
    <row r="260" spans="1:4" x14ac:dyDescent="0.25">
      <c r="A260" t="s">
        <v>315</v>
      </c>
      <c r="B260" t="s">
        <v>56</v>
      </c>
      <c r="C260" t="s">
        <v>243</v>
      </c>
      <c r="D260" t="s">
        <v>253</v>
      </c>
    </row>
    <row r="261" spans="1:4" x14ac:dyDescent="0.25">
      <c r="A261" t="s">
        <v>315</v>
      </c>
      <c r="B261" t="s">
        <v>56</v>
      </c>
      <c r="C261" t="s">
        <v>254</v>
      </c>
      <c r="D261" t="s">
        <v>255</v>
      </c>
    </row>
    <row r="262" spans="1:4" x14ac:dyDescent="0.25">
      <c r="A262" t="s">
        <v>315</v>
      </c>
      <c r="B262" t="s">
        <v>56</v>
      </c>
      <c r="C262" t="s">
        <v>196</v>
      </c>
      <c r="D262" t="s">
        <v>256</v>
      </c>
    </row>
    <row r="263" spans="1:4" x14ac:dyDescent="0.25">
      <c r="A263" t="s">
        <v>315</v>
      </c>
      <c r="B263" t="s">
        <v>56</v>
      </c>
      <c r="C263" t="s">
        <v>216</v>
      </c>
      <c r="D263" t="s">
        <v>257</v>
      </c>
    </row>
    <row r="264" spans="1:4" x14ac:dyDescent="0.25">
      <c r="A264" t="s">
        <v>315</v>
      </c>
      <c r="B264" t="s">
        <v>56</v>
      </c>
      <c r="C264" t="s">
        <v>258</v>
      </c>
      <c r="D264" t="s">
        <v>259</v>
      </c>
    </row>
    <row r="265" spans="1:4" x14ac:dyDescent="0.25">
      <c r="A265" t="s">
        <v>315</v>
      </c>
      <c r="B265" t="s">
        <v>56</v>
      </c>
      <c r="C265" t="s">
        <v>229</v>
      </c>
      <c r="D265" t="s">
        <v>260</v>
      </c>
    </row>
    <row r="266" spans="1:4" x14ac:dyDescent="0.25">
      <c r="A266" t="s">
        <v>315</v>
      </c>
      <c r="B266" t="s">
        <v>56</v>
      </c>
      <c r="C266" t="s">
        <v>261</v>
      </c>
      <c r="D266" t="s">
        <v>262</v>
      </c>
    </row>
    <row r="267" spans="1:4" x14ac:dyDescent="0.25">
      <c r="A267" t="s">
        <v>315</v>
      </c>
      <c r="B267" t="s">
        <v>263</v>
      </c>
      <c r="C267" t="s">
        <v>264</v>
      </c>
      <c r="D267" t="s">
        <v>265</v>
      </c>
    </row>
    <row r="268" spans="1:4" x14ac:dyDescent="0.25">
      <c r="A268" t="s">
        <v>315</v>
      </c>
      <c r="B268" t="s">
        <v>263</v>
      </c>
      <c r="C268" t="s">
        <v>266</v>
      </c>
      <c r="D268" t="e">
        <f>[11]SELL_PROFILE_FIXED!M2</f>
        <v>#REF!</v>
      </c>
    </row>
    <row r="269" spans="1:4" x14ac:dyDescent="0.25">
      <c r="A269" t="s">
        <v>315</v>
      </c>
      <c r="B269" t="s">
        <v>263</v>
      </c>
      <c r="C269" t="s">
        <v>43</v>
      </c>
      <c r="D269" t="e">
        <f>[11]SELL_PROFILE_FIXED!N2</f>
        <v>#REF!</v>
      </c>
    </row>
    <row r="270" spans="1:4" x14ac:dyDescent="0.25">
      <c r="A270" t="s">
        <v>315</v>
      </c>
      <c r="B270" t="s">
        <v>263</v>
      </c>
      <c r="C270" t="s">
        <v>8</v>
      </c>
      <c r="D270" t="s">
        <v>267</v>
      </c>
    </row>
    <row r="271" spans="1:4" x14ac:dyDescent="0.25">
      <c r="A271" t="s">
        <v>315</v>
      </c>
      <c r="B271" t="s">
        <v>263</v>
      </c>
      <c r="C271" t="s">
        <v>223</v>
      </c>
      <c r="D271" t="s">
        <v>268</v>
      </c>
    </row>
    <row r="272" spans="1:4" x14ac:dyDescent="0.25">
      <c r="A272" t="s">
        <v>315</v>
      </c>
      <c r="B272" t="s">
        <v>67</v>
      </c>
      <c r="C272" t="s">
        <v>37</v>
      </c>
      <c r="D272" t="s">
        <v>24</v>
      </c>
    </row>
    <row r="273" spans="1:4" x14ac:dyDescent="0.25">
      <c r="A273" t="s">
        <v>315</v>
      </c>
      <c r="B273" t="s">
        <v>269</v>
      </c>
      <c r="C273" t="s">
        <v>19</v>
      </c>
      <c r="D273" t="s">
        <v>270</v>
      </c>
    </row>
    <row r="274" spans="1:4" x14ac:dyDescent="0.25">
      <c r="A274" t="s">
        <v>315</v>
      </c>
      <c r="B274" t="s">
        <v>269</v>
      </c>
      <c r="C274" t="s">
        <v>46</v>
      </c>
      <c r="D274" t="s">
        <v>271</v>
      </c>
    </row>
    <row r="275" spans="1:4" x14ac:dyDescent="0.25">
      <c r="A275" t="s">
        <v>315</v>
      </c>
      <c r="B275" t="s">
        <v>269</v>
      </c>
      <c r="C275" t="s">
        <v>190</v>
      </c>
      <c r="D275" t="s">
        <v>267</v>
      </c>
    </row>
    <row r="276" spans="1:4" x14ac:dyDescent="0.25">
      <c r="A276" t="s">
        <v>315</v>
      </c>
      <c r="B276" t="s">
        <v>84</v>
      </c>
      <c r="C276" t="s">
        <v>37</v>
      </c>
      <c r="D276" t="s">
        <v>84</v>
      </c>
    </row>
    <row r="277" spans="1:4" x14ac:dyDescent="0.25">
      <c r="A277" t="s">
        <v>315</v>
      </c>
      <c r="B277" t="s">
        <v>84</v>
      </c>
      <c r="C277" t="s">
        <v>19</v>
      </c>
      <c r="D277" t="s">
        <v>272</v>
      </c>
    </row>
    <row r="278" spans="1:4" x14ac:dyDescent="0.25">
      <c r="A278" t="s">
        <v>315</v>
      </c>
      <c r="B278" t="s">
        <v>84</v>
      </c>
      <c r="C278" t="s">
        <v>42</v>
      </c>
      <c r="D278" t="s">
        <v>273</v>
      </c>
    </row>
    <row r="279" spans="1:4" x14ac:dyDescent="0.25">
      <c r="A279" t="s">
        <v>315</v>
      </c>
      <c r="B279" t="s">
        <v>84</v>
      </c>
      <c r="C279" t="s">
        <v>274</v>
      </c>
      <c r="D279" t="s">
        <v>275</v>
      </c>
    </row>
    <row r="280" spans="1:4" x14ac:dyDescent="0.25">
      <c r="A280" t="s">
        <v>315</v>
      </c>
      <c r="B280" t="s">
        <v>84</v>
      </c>
      <c r="C280" t="s">
        <v>200</v>
      </c>
      <c r="D280" t="s">
        <v>276</v>
      </c>
    </row>
    <row r="281" spans="1:4" x14ac:dyDescent="0.25">
      <c r="A281" t="s">
        <v>315</v>
      </c>
      <c r="B281" t="s">
        <v>84</v>
      </c>
      <c r="C281" t="s">
        <v>30</v>
      </c>
      <c r="D281" t="s">
        <v>277</v>
      </c>
    </row>
    <row r="282" spans="1:4" x14ac:dyDescent="0.25">
      <c r="A282" t="s">
        <v>315</v>
      </c>
      <c r="B282" t="s">
        <v>84</v>
      </c>
      <c r="C282" t="s">
        <v>278</v>
      </c>
      <c r="D282" t="s">
        <v>279</v>
      </c>
    </row>
    <row r="283" spans="1:4" x14ac:dyDescent="0.25">
      <c r="A283" t="s">
        <v>315</v>
      </c>
      <c r="B283" t="s">
        <v>84</v>
      </c>
      <c r="C283" t="s">
        <v>280</v>
      </c>
      <c r="D283" t="s">
        <v>281</v>
      </c>
    </row>
    <row r="284" spans="1:4" x14ac:dyDescent="0.25">
      <c r="A284" t="s">
        <v>315</v>
      </c>
      <c r="B284" t="s">
        <v>84</v>
      </c>
      <c r="C284" t="s">
        <v>15</v>
      </c>
      <c r="D284" t="s">
        <v>282</v>
      </c>
    </row>
    <row r="285" spans="1:4" x14ac:dyDescent="0.25">
      <c r="A285" t="s">
        <v>315</v>
      </c>
      <c r="B285" t="s">
        <v>84</v>
      </c>
      <c r="C285" t="s">
        <v>283</v>
      </c>
      <c r="D285" t="s">
        <v>284</v>
      </c>
    </row>
    <row r="286" spans="1:4" x14ac:dyDescent="0.25">
      <c r="A286" t="s">
        <v>315</v>
      </c>
      <c r="B286" t="s">
        <v>64</v>
      </c>
      <c r="C286" t="s">
        <v>6</v>
      </c>
      <c r="D286" t="s">
        <v>285</v>
      </c>
    </row>
    <row r="287" spans="1:4" x14ac:dyDescent="0.25">
      <c r="A287" t="s">
        <v>315</v>
      </c>
      <c r="B287" t="s">
        <v>64</v>
      </c>
      <c r="C287" t="s">
        <v>54</v>
      </c>
      <c r="D287" t="s">
        <v>286</v>
      </c>
    </row>
    <row r="288" spans="1:4" x14ac:dyDescent="0.25">
      <c r="A288" t="s">
        <v>315</v>
      </c>
      <c r="B288" t="s">
        <v>64</v>
      </c>
      <c r="C288" t="s">
        <v>38</v>
      </c>
      <c r="D288" t="s">
        <v>287</v>
      </c>
    </row>
    <row r="289" spans="1:4" x14ac:dyDescent="0.25">
      <c r="A289" t="s">
        <v>315</v>
      </c>
      <c r="B289" t="s">
        <v>64</v>
      </c>
      <c r="C289" t="s">
        <v>71</v>
      </c>
      <c r="D289" t="s">
        <v>288</v>
      </c>
    </row>
    <row r="290" spans="1:4" x14ac:dyDescent="0.25">
      <c r="A290" t="s">
        <v>315</v>
      </c>
      <c r="B290" t="s">
        <v>64</v>
      </c>
      <c r="C290" t="s">
        <v>58</v>
      </c>
      <c r="D290" t="s">
        <v>289</v>
      </c>
    </row>
    <row r="291" spans="1:4" x14ac:dyDescent="0.25">
      <c r="A291" t="s">
        <v>315</v>
      </c>
      <c r="B291" t="s">
        <v>64</v>
      </c>
      <c r="C291" t="s">
        <v>39</v>
      </c>
      <c r="D291" t="s">
        <v>290</v>
      </c>
    </row>
    <row r="292" spans="1:4" x14ac:dyDescent="0.25">
      <c r="A292" t="s">
        <v>315</v>
      </c>
      <c r="B292" t="s">
        <v>64</v>
      </c>
      <c r="C292" t="s">
        <v>291</v>
      </c>
      <c r="D292" t="s">
        <v>292</v>
      </c>
    </row>
    <row r="293" spans="1:4" x14ac:dyDescent="0.25">
      <c r="A293" t="s">
        <v>315</v>
      </c>
      <c r="B293" t="s">
        <v>64</v>
      </c>
      <c r="C293" t="s">
        <v>293</v>
      </c>
      <c r="D293" t="s">
        <v>294</v>
      </c>
    </row>
    <row r="294" spans="1:4" x14ac:dyDescent="0.25">
      <c r="A294" t="s">
        <v>315</v>
      </c>
      <c r="B294" t="s">
        <v>64</v>
      </c>
      <c r="C294" t="s">
        <v>295</v>
      </c>
      <c r="D294" t="s">
        <v>296</v>
      </c>
    </row>
    <row r="295" spans="1:4" x14ac:dyDescent="0.25">
      <c r="A295" t="s">
        <v>315</v>
      </c>
      <c r="B295" t="s">
        <v>64</v>
      </c>
      <c r="C295" t="s">
        <v>297</v>
      </c>
      <c r="D295" t="s">
        <v>298</v>
      </c>
    </row>
    <row r="296" spans="1:4" x14ac:dyDescent="0.25">
      <c r="A296" t="s">
        <v>315</v>
      </c>
      <c r="B296" t="s">
        <v>64</v>
      </c>
      <c r="C296" t="s">
        <v>299</v>
      </c>
      <c r="D296" t="s">
        <v>300</v>
      </c>
    </row>
    <row r="297" spans="1:4" x14ac:dyDescent="0.25">
      <c r="A297" t="s">
        <v>315</v>
      </c>
      <c r="B297" t="s">
        <v>64</v>
      </c>
      <c r="C297" t="s">
        <v>301</v>
      </c>
      <c r="D297" t="s">
        <v>302</v>
      </c>
    </row>
    <row r="298" spans="1:4" x14ac:dyDescent="0.25">
      <c r="A298" t="s">
        <v>315</v>
      </c>
      <c r="B298" t="s">
        <v>64</v>
      </c>
      <c r="C298" t="s">
        <v>303</v>
      </c>
      <c r="D298" t="s">
        <v>66</v>
      </c>
    </row>
    <row r="299" spans="1:4" x14ac:dyDescent="0.25">
      <c r="A299" t="s">
        <v>315</v>
      </c>
      <c r="B299" t="s">
        <v>64</v>
      </c>
      <c r="C299" t="s">
        <v>19</v>
      </c>
      <c r="D299" t="e">
        <f>[12]SELL_PROFILE!B2</f>
        <v>#REF!</v>
      </c>
    </row>
    <row r="300" spans="1:4" x14ac:dyDescent="0.25">
      <c r="A300" t="s">
        <v>315</v>
      </c>
      <c r="B300" t="s">
        <v>64</v>
      </c>
      <c r="C300" t="s">
        <v>42</v>
      </c>
      <c r="D300" t="b">
        <f>RISK_ENGINE!B2="OK"</f>
        <v>0</v>
      </c>
    </row>
    <row r="301" spans="1:4" x14ac:dyDescent="0.25">
      <c r="A301" t="s">
        <v>315</v>
      </c>
      <c r="B301" t="s">
        <v>64</v>
      </c>
      <c r="C301" t="s">
        <v>266</v>
      </c>
      <c r="D301" t="e">
        <f>IF(AND(SELL_CONFIDENCE&gt;=0.75,STRUCTURE_OK=TRUE),0.2,IF(SELL_CONFIDENCE&gt;=0.62,0.3,0.4))</f>
        <v>#NAME?</v>
      </c>
    </row>
    <row r="302" spans="1:4" x14ac:dyDescent="0.25">
      <c r="A302" t="s">
        <v>315</v>
      </c>
      <c r="B302" t="s">
        <v>64</v>
      </c>
      <c r="C302" t="s">
        <v>304</v>
      </c>
      <c r="D302" t="e">
        <f>AND(RISK_ENGINE!B2="ALERT",[13]MARKET!B2="VOL_SPIKE")</f>
        <v>#REF!</v>
      </c>
    </row>
    <row r="303" spans="1:4" x14ac:dyDescent="0.25">
      <c r="A303" t="s">
        <v>315</v>
      </c>
      <c r="B303" t="s">
        <v>64</v>
      </c>
      <c r="C303" t="s">
        <v>316</v>
      </c>
      <c r="D303" t="e">
        <f>AND(SELL_ALLOWED,PROFIT_OK)</f>
        <v>#NAME?</v>
      </c>
    </row>
    <row r="304" spans="1:4" x14ac:dyDescent="0.25">
      <c r="A304" t="s">
        <v>315</v>
      </c>
      <c r="B304" t="s">
        <v>305</v>
      </c>
      <c r="C304" t="s">
        <v>15</v>
      </c>
      <c r="D304" t="s">
        <v>306</v>
      </c>
    </row>
    <row r="305" spans="1:4" x14ac:dyDescent="0.25">
      <c r="A305" t="s">
        <v>315</v>
      </c>
      <c r="B305" t="s">
        <v>305</v>
      </c>
      <c r="C305" t="s">
        <v>12</v>
      </c>
      <c r="D305" t="s">
        <v>307</v>
      </c>
    </row>
    <row r="306" spans="1:4" x14ac:dyDescent="0.25">
      <c r="A306" t="s">
        <v>315</v>
      </c>
      <c r="B306" t="s">
        <v>305</v>
      </c>
      <c r="C306" t="s">
        <v>308</v>
      </c>
      <c r="D306" t="e">
        <f>SELL_ALLOWED_FINAL</f>
        <v>#NAME?</v>
      </c>
    </row>
    <row r="307" spans="1:4" x14ac:dyDescent="0.25">
      <c r="A307" t="s">
        <v>315</v>
      </c>
      <c r="B307" t="s">
        <v>309</v>
      </c>
      <c r="C307" t="s">
        <v>30</v>
      </c>
      <c r="D307" t="s">
        <v>286</v>
      </c>
    </row>
    <row r="308" spans="1:4" x14ac:dyDescent="0.25">
      <c r="A308" t="s">
        <v>315</v>
      </c>
      <c r="B308" t="s">
        <v>310</v>
      </c>
      <c r="C308" t="s">
        <v>6</v>
      </c>
      <c r="D308" t="s">
        <v>311</v>
      </c>
    </row>
    <row r="309" spans="1:4" x14ac:dyDescent="0.25">
      <c r="A309" t="s">
        <v>315</v>
      </c>
      <c r="B309" t="s">
        <v>310</v>
      </c>
      <c r="C309" t="s">
        <v>54</v>
      </c>
      <c r="D309" t="e">
        <f>AND(SELL_ALLOWED_FINAL,SELL_CONFIDENCE_OK,TIME_FLOOR_OK)</f>
        <v>#NAME?</v>
      </c>
    </row>
    <row r="310" spans="1:4" x14ac:dyDescent="0.25">
      <c r="A310" t="s">
        <v>315</v>
      </c>
      <c r="B310" t="s">
        <v>310</v>
      </c>
      <c r="C310" t="s">
        <v>312</v>
      </c>
      <c r="D310" t="s">
        <v>313</v>
      </c>
    </row>
    <row r="311" spans="1:4" x14ac:dyDescent="0.25">
      <c r="A311" t="s">
        <v>317</v>
      </c>
      <c r="B311" t="s">
        <v>78</v>
      </c>
      <c r="C311" t="s">
        <v>62</v>
      </c>
      <c r="D311" t="s">
        <v>232</v>
      </c>
    </row>
    <row r="312" spans="1:4" x14ac:dyDescent="0.25">
      <c r="A312" t="s">
        <v>317</v>
      </c>
      <c r="B312" t="s">
        <v>78</v>
      </c>
      <c r="C312" t="s">
        <v>29</v>
      </c>
      <c r="D312" t="s">
        <v>233</v>
      </c>
    </row>
    <row r="313" spans="1:4" x14ac:dyDescent="0.25">
      <c r="A313" t="s">
        <v>317</v>
      </c>
      <c r="B313" t="s">
        <v>78</v>
      </c>
      <c r="C313" t="s">
        <v>33</v>
      </c>
      <c r="D313" t="s">
        <v>234</v>
      </c>
    </row>
    <row r="314" spans="1:4" x14ac:dyDescent="0.25">
      <c r="A314" t="s">
        <v>317</v>
      </c>
      <c r="B314" t="s">
        <v>52</v>
      </c>
      <c r="C314" t="s">
        <v>6</v>
      </c>
      <c r="D314" t="s">
        <v>53</v>
      </c>
    </row>
    <row r="315" spans="1:4" x14ac:dyDescent="0.25">
      <c r="A315" t="s">
        <v>317</v>
      </c>
      <c r="B315" t="s">
        <v>52</v>
      </c>
      <c r="C315" t="s">
        <v>54</v>
      </c>
      <c r="D315" t="s">
        <v>55</v>
      </c>
    </row>
    <row r="316" spans="1:4" x14ac:dyDescent="0.25">
      <c r="A316" t="s">
        <v>317</v>
      </c>
      <c r="B316" t="s">
        <v>235</v>
      </c>
      <c r="C316" t="s">
        <v>37</v>
      </c>
      <c r="D316" t="s">
        <v>236</v>
      </c>
    </row>
    <row r="317" spans="1:4" x14ac:dyDescent="0.25">
      <c r="A317" t="s">
        <v>317</v>
      </c>
      <c r="B317" t="s">
        <v>235</v>
      </c>
      <c r="C317" t="s">
        <v>38</v>
      </c>
      <c r="D317" t="s">
        <v>237</v>
      </c>
    </row>
    <row r="318" spans="1:4" x14ac:dyDescent="0.25">
      <c r="A318" t="s">
        <v>317</v>
      </c>
      <c r="B318" t="s">
        <v>238</v>
      </c>
      <c r="C318" t="s">
        <v>10</v>
      </c>
      <c r="D318" t="s">
        <v>239</v>
      </c>
    </row>
    <row r="319" spans="1:4" x14ac:dyDescent="0.25">
      <c r="A319" t="s">
        <v>317</v>
      </c>
      <c r="B319" t="s">
        <v>238</v>
      </c>
      <c r="C319" t="s">
        <v>216</v>
      </c>
      <c r="D319" t="s">
        <v>240</v>
      </c>
    </row>
    <row r="320" spans="1:4" x14ac:dyDescent="0.25">
      <c r="A320" t="s">
        <v>317</v>
      </c>
      <c r="B320" t="s">
        <v>82</v>
      </c>
      <c r="C320" t="s">
        <v>19</v>
      </c>
      <c r="D320" t="s">
        <v>241</v>
      </c>
    </row>
    <row r="321" spans="1:4" x14ac:dyDescent="0.25">
      <c r="A321" t="s">
        <v>317</v>
      </c>
      <c r="B321" t="s">
        <v>82</v>
      </c>
      <c r="C321" t="s">
        <v>25</v>
      </c>
      <c r="D321" t="s">
        <v>242</v>
      </c>
    </row>
    <row r="322" spans="1:4" x14ac:dyDescent="0.25">
      <c r="A322" t="s">
        <v>317</v>
      </c>
      <c r="B322" t="s">
        <v>82</v>
      </c>
      <c r="C322" t="s">
        <v>243</v>
      </c>
      <c r="D322" t="s">
        <v>244</v>
      </c>
    </row>
    <row r="323" spans="1:4" x14ac:dyDescent="0.25">
      <c r="A323" t="s">
        <v>317</v>
      </c>
      <c r="B323" t="s">
        <v>82</v>
      </c>
      <c r="C323" t="s">
        <v>196</v>
      </c>
      <c r="D323" t="s">
        <v>245</v>
      </c>
    </row>
    <row r="324" spans="1:4" x14ac:dyDescent="0.25">
      <c r="A324" t="s">
        <v>317</v>
      </c>
      <c r="B324" t="s">
        <v>82</v>
      </c>
      <c r="C324" t="s">
        <v>216</v>
      </c>
      <c r="D324" t="s">
        <v>246</v>
      </c>
    </row>
    <row r="325" spans="1:4" x14ac:dyDescent="0.25">
      <c r="A325" t="s">
        <v>317</v>
      </c>
      <c r="B325" t="s">
        <v>56</v>
      </c>
      <c r="C325" t="s">
        <v>6</v>
      </c>
      <c r="D325" t="s">
        <v>247</v>
      </c>
    </row>
    <row r="326" spans="1:4" x14ac:dyDescent="0.25">
      <c r="A326" t="s">
        <v>317</v>
      </c>
      <c r="B326" t="s">
        <v>56</v>
      </c>
      <c r="C326" t="s">
        <v>46</v>
      </c>
      <c r="D326" t="s">
        <v>248</v>
      </c>
    </row>
    <row r="327" spans="1:4" x14ac:dyDescent="0.25">
      <c r="A327" t="s">
        <v>317</v>
      </c>
      <c r="B327" t="s">
        <v>56</v>
      </c>
      <c r="C327" t="s">
        <v>8</v>
      </c>
      <c r="D327" t="s">
        <v>249</v>
      </c>
    </row>
    <row r="328" spans="1:4" x14ac:dyDescent="0.25">
      <c r="A328" t="s">
        <v>317</v>
      </c>
      <c r="B328" t="s">
        <v>56</v>
      </c>
      <c r="C328" t="s">
        <v>30</v>
      </c>
      <c r="D328" t="s">
        <v>250</v>
      </c>
    </row>
    <row r="329" spans="1:4" x14ac:dyDescent="0.25">
      <c r="A329" t="s">
        <v>317</v>
      </c>
      <c r="B329" t="s">
        <v>56</v>
      </c>
      <c r="C329" t="s">
        <v>10</v>
      </c>
      <c r="D329" t="s">
        <v>251</v>
      </c>
    </row>
    <row r="330" spans="1:4" x14ac:dyDescent="0.25">
      <c r="A330" t="s">
        <v>317</v>
      </c>
      <c r="B330" t="s">
        <v>56</v>
      </c>
      <c r="C330" t="s">
        <v>12</v>
      </c>
      <c r="D330" t="s">
        <v>252</v>
      </c>
    </row>
    <row r="331" spans="1:4" x14ac:dyDescent="0.25">
      <c r="A331" t="s">
        <v>317</v>
      </c>
      <c r="B331" t="s">
        <v>56</v>
      </c>
      <c r="C331" t="s">
        <v>243</v>
      </c>
      <c r="D331" t="s">
        <v>253</v>
      </c>
    </row>
    <row r="332" spans="1:4" x14ac:dyDescent="0.25">
      <c r="A332" t="s">
        <v>317</v>
      </c>
      <c r="B332" t="s">
        <v>56</v>
      </c>
      <c r="C332" t="s">
        <v>254</v>
      </c>
      <c r="D332" t="s">
        <v>255</v>
      </c>
    </row>
    <row r="333" spans="1:4" x14ac:dyDescent="0.25">
      <c r="A333" t="s">
        <v>317</v>
      </c>
      <c r="B333" t="s">
        <v>56</v>
      </c>
      <c r="C333" t="s">
        <v>196</v>
      </c>
      <c r="D333" t="s">
        <v>256</v>
      </c>
    </row>
    <row r="334" spans="1:4" x14ac:dyDescent="0.25">
      <c r="A334" t="s">
        <v>317</v>
      </c>
      <c r="B334" t="s">
        <v>56</v>
      </c>
      <c r="C334" t="s">
        <v>216</v>
      </c>
      <c r="D334" t="s">
        <v>257</v>
      </c>
    </row>
    <row r="335" spans="1:4" x14ac:dyDescent="0.25">
      <c r="A335" t="s">
        <v>317</v>
      </c>
      <c r="B335" t="s">
        <v>56</v>
      </c>
      <c r="C335" t="s">
        <v>258</v>
      </c>
      <c r="D335" t="s">
        <v>259</v>
      </c>
    </row>
    <row r="336" spans="1:4" x14ac:dyDescent="0.25">
      <c r="A336" t="s">
        <v>317</v>
      </c>
      <c r="B336" t="s">
        <v>56</v>
      </c>
      <c r="C336" t="s">
        <v>229</v>
      </c>
      <c r="D336" t="s">
        <v>260</v>
      </c>
    </row>
    <row r="337" spans="1:4" x14ac:dyDescent="0.25">
      <c r="A337" t="s">
        <v>317</v>
      </c>
      <c r="B337" t="s">
        <v>56</v>
      </c>
      <c r="C337" t="s">
        <v>261</v>
      </c>
      <c r="D337" t="s">
        <v>262</v>
      </c>
    </row>
    <row r="338" spans="1:4" x14ac:dyDescent="0.25">
      <c r="A338" t="s">
        <v>317</v>
      </c>
      <c r="B338" t="s">
        <v>263</v>
      </c>
      <c r="C338" t="s">
        <v>264</v>
      </c>
      <c r="D338" t="s">
        <v>265</v>
      </c>
    </row>
    <row r="339" spans="1:4" x14ac:dyDescent="0.25">
      <c r="A339" t="s">
        <v>317</v>
      </c>
      <c r="B339" t="s">
        <v>263</v>
      </c>
      <c r="C339" t="s">
        <v>266</v>
      </c>
      <c r="D339" t="e">
        <f>[11]SELL_PROFILE_FIXED!M2</f>
        <v>#REF!</v>
      </c>
    </row>
    <row r="340" spans="1:4" x14ac:dyDescent="0.25">
      <c r="A340" t="s">
        <v>317</v>
      </c>
      <c r="B340" t="s">
        <v>263</v>
      </c>
      <c r="C340" t="s">
        <v>43</v>
      </c>
      <c r="D340" t="e">
        <f>[11]SELL_PROFILE_FIXED!N2</f>
        <v>#REF!</v>
      </c>
    </row>
    <row r="341" spans="1:4" x14ac:dyDescent="0.25">
      <c r="A341" t="s">
        <v>317</v>
      </c>
      <c r="B341" t="s">
        <v>263</v>
      </c>
      <c r="C341" t="s">
        <v>8</v>
      </c>
      <c r="D341" t="s">
        <v>267</v>
      </c>
    </row>
    <row r="342" spans="1:4" x14ac:dyDescent="0.25">
      <c r="A342" t="s">
        <v>317</v>
      </c>
      <c r="B342" t="s">
        <v>263</v>
      </c>
      <c r="C342" t="s">
        <v>223</v>
      </c>
      <c r="D342" t="s">
        <v>268</v>
      </c>
    </row>
    <row r="343" spans="1:4" x14ac:dyDescent="0.25">
      <c r="A343" t="s">
        <v>317</v>
      </c>
      <c r="B343" t="s">
        <v>67</v>
      </c>
      <c r="C343" t="s">
        <v>37</v>
      </c>
      <c r="D343" t="s">
        <v>24</v>
      </c>
    </row>
    <row r="344" spans="1:4" x14ac:dyDescent="0.25">
      <c r="A344" t="s">
        <v>317</v>
      </c>
      <c r="B344" t="s">
        <v>269</v>
      </c>
      <c r="C344" t="s">
        <v>19</v>
      </c>
      <c r="D344" t="s">
        <v>270</v>
      </c>
    </row>
    <row r="345" spans="1:4" x14ac:dyDescent="0.25">
      <c r="A345" t="s">
        <v>317</v>
      </c>
      <c r="B345" t="s">
        <v>269</v>
      </c>
      <c r="C345" t="s">
        <v>46</v>
      </c>
      <c r="D345" t="s">
        <v>271</v>
      </c>
    </row>
    <row r="346" spans="1:4" x14ac:dyDescent="0.25">
      <c r="A346" t="s">
        <v>317</v>
      </c>
      <c r="B346" t="s">
        <v>269</v>
      </c>
      <c r="C346" t="s">
        <v>190</v>
      </c>
      <c r="D346" t="s">
        <v>267</v>
      </c>
    </row>
    <row r="347" spans="1:4" x14ac:dyDescent="0.25">
      <c r="A347" t="s">
        <v>317</v>
      </c>
      <c r="B347" t="s">
        <v>84</v>
      </c>
      <c r="C347" t="s">
        <v>37</v>
      </c>
      <c r="D347" t="s">
        <v>84</v>
      </c>
    </row>
    <row r="348" spans="1:4" x14ac:dyDescent="0.25">
      <c r="A348" t="s">
        <v>317</v>
      </c>
      <c r="B348" t="s">
        <v>84</v>
      </c>
      <c r="C348" t="s">
        <v>19</v>
      </c>
      <c r="D348" t="s">
        <v>272</v>
      </c>
    </row>
    <row r="349" spans="1:4" x14ac:dyDescent="0.25">
      <c r="A349" t="s">
        <v>317</v>
      </c>
      <c r="B349" t="s">
        <v>84</v>
      </c>
      <c r="C349" t="s">
        <v>42</v>
      </c>
      <c r="D349" t="s">
        <v>273</v>
      </c>
    </row>
    <row r="350" spans="1:4" x14ac:dyDescent="0.25">
      <c r="A350" t="s">
        <v>317</v>
      </c>
      <c r="B350" t="s">
        <v>84</v>
      </c>
      <c r="C350" t="s">
        <v>274</v>
      </c>
      <c r="D350" t="s">
        <v>275</v>
      </c>
    </row>
    <row r="351" spans="1:4" x14ac:dyDescent="0.25">
      <c r="A351" t="s">
        <v>317</v>
      </c>
      <c r="B351" t="s">
        <v>84</v>
      </c>
      <c r="C351" t="s">
        <v>200</v>
      </c>
      <c r="D351" t="s">
        <v>276</v>
      </c>
    </row>
    <row r="352" spans="1:4" x14ac:dyDescent="0.25">
      <c r="A352" t="s">
        <v>317</v>
      </c>
      <c r="B352" t="s">
        <v>84</v>
      </c>
      <c r="C352" t="s">
        <v>30</v>
      </c>
      <c r="D352" t="s">
        <v>277</v>
      </c>
    </row>
    <row r="353" spans="1:4" x14ac:dyDescent="0.25">
      <c r="A353" t="s">
        <v>317</v>
      </c>
      <c r="B353" t="s">
        <v>84</v>
      </c>
      <c r="C353" t="s">
        <v>278</v>
      </c>
      <c r="D353" t="s">
        <v>279</v>
      </c>
    </row>
    <row r="354" spans="1:4" x14ac:dyDescent="0.25">
      <c r="A354" t="s">
        <v>317</v>
      </c>
      <c r="B354" t="s">
        <v>84</v>
      </c>
      <c r="C354" t="s">
        <v>280</v>
      </c>
      <c r="D354" t="s">
        <v>281</v>
      </c>
    </row>
    <row r="355" spans="1:4" x14ac:dyDescent="0.25">
      <c r="A355" t="s">
        <v>317</v>
      </c>
      <c r="B355" t="s">
        <v>84</v>
      </c>
      <c r="C355" t="s">
        <v>15</v>
      </c>
      <c r="D355" t="s">
        <v>282</v>
      </c>
    </row>
    <row r="356" spans="1:4" x14ac:dyDescent="0.25">
      <c r="A356" t="s">
        <v>317</v>
      </c>
      <c r="B356" t="s">
        <v>84</v>
      </c>
      <c r="C356" t="s">
        <v>283</v>
      </c>
      <c r="D356" t="s">
        <v>284</v>
      </c>
    </row>
    <row r="357" spans="1:4" x14ac:dyDescent="0.25">
      <c r="A357" t="s">
        <v>317</v>
      </c>
      <c r="B357" t="s">
        <v>64</v>
      </c>
      <c r="C357" t="s">
        <v>6</v>
      </c>
      <c r="D357" t="s">
        <v>285</v>
      </c>
    </row>
    <row r="358" spans="1:4" x14ac:dyDescent="0.25">
      <c r="A358" t="s">
        <v>317</v>
      </c>
      <c r="B358" t="s">
        <v>64</v>
      </c>
      <c r="C358" t="s">
        <v>54</v>
      </c>
      <c r="D358" t="s">
        <v>286</v>
      </c>
    </row>
    <row r="359" spans="1:4" x14ac:dyDescent="0.25">
      <c r="A359" t="s">
        <v>317</v>
      </c>
      <c r="B359" t="s">
        <v>64</v>
      </c>
      <c r="C359" t="s">
        <v>38</v>
      </c>
      <c r="D359" t="s">
        <v>287</v>
      </c>
    </row>
    <row r="360" spans="1:4" x14ac:dyDescent="0.25">
      <c r="A360" t="s">
        <v>317</v>
      </c>
      <c r="B360" t="s">
        <v>64</v>
      </c>
      <c r="C360" t="s">
        <v>71</v>
      </c>
      <c r="D360" t="s">
        <v>288</v>
      </c>
    </row>
    <row r="361" spans="1:4" x14ac:dyDescent="0.25">
      <c r="A361" t="s">
        <v>317</v>
      </c>
      <c r="B361" t="s">
        <v>64</v>
      </c>
      <c r="C361" t="s">
        <v>58</v>
      </c>
      <c r="D361" t="s">
        <v>289</v>
      </c>
    </row>
    <row r="362" spans="1:4" x14ac:dyDescent="0.25">
      <c r="A362" t="s">
        <v>317</v>
      </c>
      <c r="B362" t="s">
        <v>64</v>
      </c>
      <c r="C362" t="s">
        <v>39</v>
      </c>
      <c r="D362" t="s">
        <v>290</v>
      </c>
    </row>
    <row r="363" spans="1:4" x14ac:dyDescent="0.25">
      <c r="A363" t="s">
        <v>317</v>
      </c>
      <c r="B363" t="s">
        <v>64</v>
      </c>
      <c r="C363" t="s">
        <v>291</v>
      </c>
      <c r="D363" t="s">
        <v>292</v>
      </c>
    </row>
    <row r="364" spans="1:4" x14ac:dyDescent="0.25">
      <c r="A364" t="s">
        <v>317</v>
      </c>
      <c r="B364" t="s">
        <v>64</v>
      </c>
      <c r="C364" t="s">
        <v>293</v>
      </c>
      <c r="D364" t="s">
        <v>294</v>
      </c>
    </row>
    <row r="365" spans="1:4" x14ac:dyDescent="0.25">
      <c r="A365" t="s">
        <v>317</v>
      </c>
      <c r="B365" t="s">
        <v>64</v>
      </c>
      <c r="C365" t="s">
        <v>295</v>
      </c>
      <c r="D365" t="s">
        <v>296</v>
      </c>
    </row>
    <row r="366" spans="1:4" x14ac:dyDescent="0.25">
      <c r="A366" t="s">
        <v>317</v>
      </c>
      <c r="B366" t="s">
        <v>64</v>
      </c>
      <c r="C366" t="s">
        <v>297</v>
      </c>
      <c r="D366" t="s">
        <v>298</v>
      </c>
    </row>
    <row r="367" spans="1:4" x14ac:dyDescent="0.25">
      <c r="A367" t="s">
        <v>317</v>
      </c>
      <c r="B367" t="s">
        <v>64</v>
      </c>
      <c r="C367" t="s">
        <v>299</v>
      </c>
      <c r="D367" t="s">
        <v>300</v>
      </c>
    </row>
    <row r="368" spans="1:4" x14ac:dyDescent="0.25">
      <c r="A368" t="s">
        <v>317</v>
      </c>
      <c r="B368" t="s">
        <v>64</v>
      </c>
      <c r="C368" t="s">
        <v>301</v>
      </c>
      <c r="D368" t="s">
        <v>302</v>
      </c>
    </row>
    <row r="369" spans="1:4" x14ac:dyDescent="0.25">
      <c r="A369" t="s">
        <v>317</v>
      </c>
      <c r="B369" t="s">
        <v>64</v>
      </c>
      <c r="C369" t="s">
        <v>303</v>
      </c>
      <c r="D369" t="s">
        <v>66</v>
      </c>
    </row>
    <row r="370" spans="1:4" x14ac:dyDescent="0.25">
      <c r="A370" t="s">
        <v>317</v>
      </c>
      <c r="B370" t="s">
        <v>64</v>
      </c>
      <c r="C370" t="s">
        <v>19</v>
      </c>
      <c r="D370" t="e">
        <f>[12]SELL_PROFILE!B2</f>
        <v>#REF!</v>
      </c>
    </row>
    <row r="371" spans="1:4" x14ac:dyDescent="0.25">
      <c r="A371" t="s">
        <v>317</v>
      </c>
      <c r="B371" t="s">
        <v>64</v>
      </c>
      <c r="C371" t="s">
        <v>42</v>
      </c>
      <c r="D371" t="b">
        <f>RISK_ENGINE!B2="OK"</f>
        <v>0</v>
      </c>
    </row>
    <row r="372" spans="1:4" x14ac:dyDescent="0.25">
      <c r="A372" t="s">
        <v>317</v>
      </c>
      <c r="B372" t="s">
        <v>64</v>
      </c>
      <c r="C372" t="s">
        <v>266</v>
      </c>
      <c r="D372" t="e">
        <f>IF(SELL_ALLOWED,0.3,0)</f>
        <v>#NAME?</v>
      </c>
    </row>
    <row r="373" spans="1:4" x14ac:dyDescent="0.25">
      <c r="A373" t="s">
        <v>317</v>
      </c>
      <c r="B373" t="s">
        <v>64</v>
      </c>
      <c r="C373" t="s">
        <v>304</v>
      </c>
      <c r="D373" t="e">
        <f>AND(RISK_ENGINE!B2="ALERT",[13]MARKET!B2="VOL_SPIKE")</f>
        <v>#REF!</v>
      </c>
    </row>
    <row r="374" spans="1:4" x14ac:dyDescent="0.25">
      <c r="A374" t="s">
        <v>317</v>
      </c>
      <c r="B374" t="s">
        <v>305</v>
      </c>
      <c r="C374" t="s">
        <v>15</v>
      </c>
      <c r="D374" t="s">
        <v>306</v>
      </c>
    </row>
    <row r="375" spans="1:4" x14ac:dyDescent="0.25">
      <c r="A375" t="s">
        <v>317</v>
      </c>
      <c r="B375" t="s">
        <v>305</v>
      </c>
      <c r="C375" t="s">
        <v>12</v>
      </c>
      <c r="D375" t="s">
        <v>307</v>
      </c>
    </row>
    <row r="376" spans="1:4" x14ac:dyDescent="0.25">
      <c r="A376" t="s">
        <v>317</v>
      </c>
      <c r="B376" t="s">
        <v>305</v>
      </c>
      <c r="C376" t="s">
        <v>308</v>
      </c>
      <c r="D376" t="e">
        <f>SELL_ALLOWED_FINAL</f>
        <v>#NAME?</v>
      </c>
    </row>
    <row r="377" spans="1:4" x14ac:dyDescent="0.25">
      <c r="A377" t="s">
        <v>317</v>
      </c>
      <c r="B377" t="s">
        <v>309</v>
      </c>
      <c r="C377" t="s">
        <v>30</v>
      </c>
      <c r="D377" t="s">
        <v>286</v>
      </c>
    </row>
    <row r="378" spans="1:4" x14ac:dyDescent="0.25">
      <c r="A378" t="s">
        <v>317</v>
      </c>
      <c r="B378" t="s">
        <v>310</v>
      </c>
      <c r="C378" t="s">
        <v>6</v>
      </c>
      <c r="D378" t="s">
        <v>311</v>
      </c>
    </row>
    <row r="379" spans="1:4" x14ac:dyDescent="0.25">
      <c r="A379" t="s">
        <v>317</v>
      </c>
      <c r="B379" t="s">
        <v>310</v>
      </c>
      <c r="C379" t="s">
        <v>54</v>
      </c>
      <c r="D379" t="e">
        <f>AND(SELL_ALLOWED_FINAL,SELL_CONFIDENCE_OK,TIME_FLOOR_OK)</f>
        <v>#NAME?</v>
      </c>
    </row>
    <row r="380" spans="1:4" x14ac:dyDescent="0.25">
      <c r="A380" t="s">
        <v>317</v>
      </c>
      <c r="B380" t="s">
        <v>310</v>
      </c>
      <c r="C380" t="s">
        <v>312</v>
      </c>
      <c r="D380" t="s">
        <v>313</v>
      </c>
    </row>
    <row r="381" spans="1:4" x14ac:dyDescent="0.25">
      <c r="A381" t="s">
        <v>318</v>
      </c>
      <c r="B381" t="s">
        <v>78</v>
      </c>
      <c r="C381" t="s">
        <v>62</v>
      </c>
      <c r="D381" t="s">
        <v>232</v>
      </c>
    </row>
    <row r="382" spans="1:4" x14ac:dyDescent="0.25">
      <c r="A382" t="s">
        <v>318</v>
      </c>
      <c r="B382" t="s">
        <v>78</v>
      </c>
      <c r="C382" t="s">
        <v>29</v>
      </c>
      <c r="D382" t="s">
        <v>233</v>
      </c>
    </row>
    <row r="383" spans="1:4" x14ac:dyDescent="0.25">
      <c r="A383" t="s">
        <v>318</v>
      </c>
      <c r="B383" t="s">
        <v>78</v>
      </c>
      <c r="C383" t="s">
        <v>33</v>
      </c>
      <c r="D383" t="s">
        <v>234</v>
      </c>
    </row>
    <row r="384" spans="1:4" x14ac:dyDescent="0.25">
      <c r="A384" t="s">
        <v>318</v>
      </c>
      <c r="B384" t="s">
        <v>52</v>
      </c>
      <c r="C384" t="s">
        <v>6</v>
      </c>
      <c r="D384" t="s">
        <v>53</v>
      </c>
    </row>
    <row r="385" spans="1:4" x14ac:dyDescent="0.25">
      <c r="A385" t="s">
        <v>318</v>
      </c>
      <c r="B385" t="s">
        <v>52</v>
      </c>
      <c r="C385" t="s">
        <v>54</v>
      </c>
      <c r="D385" t="s">
        <v>55</v>
      </c>
    </row>
    <row r="386" spans="1:4" x14ac:dyDescent="0.25">
      <c r="A386" t="s">
        <v>318</v>
      </c>
      <c r="B386" t="s">
        <v>235</v>
      </c>
      <c r="C386" t="s">
        <v>37</v>
      </c>
      <c r="D386" t="s">
        <v>236</v>
      </c>
    </row>
    <row r="387" spans="1:4" x14ac:dyDescent="0.25">
      <c r="A387" t="s">
        <v>318</v>
      </c>
      <c r="B387" t="s">
        <v>235</v>
      </c>
      <c r="C387" t="s">
        <v>38</v>
      </c>
      <c r="D387" t="s">
        <v>237</v>
      </c>
    </row>
    <row r="388" spans="1:4" x14ac:dyDescent="0.25">
      <c r="A388" t="s">
        <v>318</v>
      </c>
      <c r="B388" t="s">
        <v>238</v>
      </c>
      <c r="C388" t="s">
        <v>10</v>
      </c>
      <c r="D388" t="s">
        <v>239</v>
      </c>
    </row>
    <row r="389" spans="1:4" x14ac:dyDescent="0.25">
      <c r="A389" t="s">
        <v>318</v>
      </c>
      <c r="B389" t="s">
        <v>238</v>
      </c>
      <c r="C389" t="s">
        <v>216</v>
      </c>
      <c r="D389" t="s">
        <v>240</v>
      </c>
    </row>
    <row r="390" spans="1:4" x14ac:dyDescent="0.25">
      <c r="A390" t="s">
        <v>318</v>
      </c>
      <c r="B390" t="s">
        <v>82</v>
      </c>
      <c r="C390" t="s">
        <v>19</v>
      </c>
      <c r="D390" t="s">
        <v>241</v>
      </c>
    </row>
    <row r="391" spans="1:4" x14ac:dyDescent="0.25">
      <c r="A391" t="s">
        <v>318</v>
      </c>
      <c r="B391" t="s">
        <v>82</v>
      </c>
      <c r="C391" t="s">
        <v>25</v>
      </c>
      <c r="D391" t="s">
        <v>242</v>
      </c>
    </row>
    <row r="392" spans="1:4" x14ac:dyDescent="0.25">
      <c r="A392" t="s">
        <v>318</v>
      </c>
      <c r="B392" t="s">
        <v>82</v>
      </c>
      <c r="C392" t="s">
        <v>243</v>
      </c>
      <c r="D392" t="s">
        <v>244</v>
      </c>
    </row>
    <row r="393" spans="1:4" x14ac:dyDescent="0.25">
      <c r="A393" t="s">
        <v>318</v>
      </c>
      <c r="B393" t="s">
        <v>82</v>
      </c>
      <c r="C393" t="s">
        <v>196</v>
      </c>
      <c r="D393" t="s">
        <v>245</v>
      </c>
    </row>
    <row r="394" spans="1:4" x14ac:dyDescent="0.25">
      <c r="A394" t="s">
        <v>318</v>
      </c>
      <c r="B394" t="s">
        <v>82</v>
      </c>
      <c r="C394" t="s">
        <v>216</v>
      </c>
      <c r="D394" t="s">
        <v>246</v>
      </c>
    </row>
    <row r="395" spans="1:4" x14ac:dyDescent="0.25">
      <c r="A395" t="s">
        <v>318</v>
      </c>
      <c r="B395" t="s">
        <v>56</v>
      </c>
      <c r="C395" t="s">
        <v>6</v>
      </c>
      <c r="D395" t="s">
        <v>247</v>
      </c>
    </row>
    <row r="396" spans="1:4" x14ac:dyDescent="0.25">
      <c r="A396" t="s">
        <v>318</v>
      </c>
      <c r="B396" t="s">
        <v>56</v>
      </c>
      <c r="C396" t="s">
        <v>46</v>
      </c>
      <c r="D396" t="s">
        <v>248</v>
      </c>
    </row>
    <row r="397" spans="1:4" x14ac:dyDescent="0.25">
      <c r="A397" t="s">
        <v>318</v>
      </c>
      <c r="B397" t="s">
        <v>56</v>
      </c>
      <c r="C397" t="s">
        <v>8</v>
      </c>
      <c r="D397" t="s">
        <v>249</v>
      </c>
    </row>
    <row r="398" spans="1:4" x14ac:dyDescent="0.25">
      <c r="A398" t="s">
        <v>318</v>
      </c>
      <c r="B398" t="s">
        <v>56</v>
      </c>
      <c r="C398" t="s">
        <v>30</v>
      </c>
      <c r="D398" t="s">
        <v>250</v>
      </c>
    </row>
    <row r="399" spans="1:4" x14ac:dyDescent="0.25">
      <c r="A399" t="s">
        <v>318</v>
      </c>
      <c r="B399" t="s">
        <v>56</v>
      </c>
      <c r="C399" t="s">
        <v>10</v>
      </c>
      <c r="D399" t="s">
        <v>251</v>
      </c>
    </row>
    <row r="400" spans="1:4" x14ac:dyDescent="0.25">
      <c r="A400" t="s">
        <v>318</v>
      </c>
      <c r="B400" t="s">
        <v>56</v>
      </c>
      <c r="C400" t="s">
        <v>12</v>
      </c>
      <c r="D400" t="s">
        <v>252</v>
      </c>
    </row>
    <row r="401" spans="1:4" x14ac:dyDescent="0.25">
      <c r="A401" t="s">
        <v>318</v>
      </c>
      <c r="B401" t="s">
        <v>56</v>
      </c>
      <c r="C401" t="s">
        <v>243</v>
      </c>
      <c r="D401" t="s">
        <v>253</v>
      </c>
    </row>
    <row r="402" spans="1:4" x14ac:dyDescent="0.25">
      <c r="A402" t="s">
        <v>318</v>
      </c>
      <c r="B402" t="s">
        <v>56</v>
      </c>
      <c r="C402" t="s">
        <v>254</v>
      </c>
      <c r="D402" t="s">
        <v>255</v>
      </c>
    </row>
    <row r="403" spans="1:4" x14ac:dyDescent="0.25">
      <c r="A403" t="s">
        <v>318</v>
      </c>
      <c r="B403" t="s">
        <v>56</v>
      </c>
      <c r="C403" t="s">
        <v>196</v>
      </c>
      <c r="D403" t="s">
        <v>256</v>
      </c>
    </row>
    <row r="404" spans="1:4" x14ac:dyDescent="0.25">
      <c r="A404" t="s">
        <v>318</v>
      </c>
      <c r="B404" t="s">
        <v>56</v>
      </c>
      <c r="C404" t="s">
        <v>216</v>
      </c>
      <c r="D404" t="s">
        <v>257</v>
      </c>
    </row>
    <row r="405" spans="1:4" x14ac:dyDescent="0.25">
      <c r="A405" t="s">
        <v>318</v>
      </c>
      <c r="B405" t="s">
        <v>56</v>
      </c>
      <c r="C405" t="s">
        <v>258</v>
      </c>
      <c r="D405" t="s">
        <v>259</v>
      </c>
    </row>
    <row r="406" spans="1:4" x14ac:dyDescent="0.25">
      <c r="A406" t="s">
        <v>318</v>
      </c>
      <c r="B406" t="s">
        <v>56</v>
      </c>
      <c r="C406" t="s">
        <v>229</v>
      </c>
      <c r="D406" t="s">
        <v>260</v>
      </c>
    </row>
    <row r="407" spans="1:4" x14ac:dyDescent="0.25">
      <c r="A407" t="s">
        <v>318</v>
      </c>
      <c r="B407" t="s">
        <v>56</v>
      </c>
      <c r="C407" t="s">
        <v>261</v>
      </c>
      <c r="D407" t="s">
        <v>262</v>
      </c>
    </row>
    <row r="408" spans="1:4" x14ac:dyDescent="0.25">
      <c r="A408" t="s">
        <v>318</v>
      </c>
      <c r="B408" t="s">
        <v>263</v>
      </c>
      <c r="C408" t="s">
        <v>264</v>
      </c>
      <c r="D408" t="s">
        <v>265</v>
      </c>
    </row>
    <row r="409" spans="1:4" x14ac:dyDescent="0.25">
      <c r="A409" t="s">
        <v>318</v>
      </c>
      <c r="B409" t="s">
        <v>263</v>
      </c>
      <c r="C409" t="s">
        <v>266</v>
      </c>
      <c r="D409" t="e">
        <f>[11]SELL_PROFILE_FIXED!M2</f>
        <v>#REF!</v>
      </c>
    </row>
    <row r="410" spans="1:4" x14ac:dyDescent="0.25">
      <c r="A410" t="s">
        <v>318</v>
      </c>
      <c r="B410" t="s">
        <v>263</v>
      </c>
      <c r="C410" t="s">
        <v>43</v>
      </c>
      <c r="D410" t="e">
        <f>[11]SELL_PROFILE_FIXED!N2</f>
        <v>#REF!</v>
      </c>
    </row>
    <row r="411" spans="1:4" x14ac:dyDescent="0.25">
      <c r="A411" t="s">
        <v>318</v>
      </c>
      <c r="B411" t="s">
        <v>263</v>
      </c>
      <c r="C411" t="s">
        <v>8</v>
      </c>
      <c r="D411" t="s">
        <v>267</v>
      </c>
    </row>
    <row r="412" spans="1:4" x14ac:dyDescent="0.25">
      <c r="A412" t="s">
        <v>318</v>
      </c>
      <c r="B412" t="s">
        <v>263</v>
      </c>
      <c r="C412" t="s">
        <v>223</v>
      </c>
      <c r="D412" t="s">
        <v>268</v>
      </c>
    </row>
    <row r="413" spans="1:4" x14ac:dyDescent="0.25">
      <c r="A413" t="s">
        <v>318</v>
      </c>
      <c r="B413" t="s">
        <v>67</v>
      </c>
      <c r="C413" t="s">
        <v>37</v>
      </c>
      <c r="D413" t="s">
        <v>24</v>
      </c>
    </row>
    <row r="414" spans="1:4" x14ac:dyDescent="0.25">
      <c r="A414" t="s">
        <v>318</v>
      </c>
      <c r="B414" t="s">
        <v>269</v>
      </c>
      <c r="C414" t="s">
        <v>19</v>
      </c>
      <c r="D414" t="s">
        <v>270</v>
      </c>
    </row>
    <row r="415" spans="1:4" x14ac:dyDescent="0.25">
      <c r="A415" t="s">
        <v>318</v>
      </c>
      <c r="B415" t="s">
        <v>269</v>
      </c>
      <c r="C415" t="s">
        <v>46</v>
      </c>
      <c r="D415" t="s">
        <v>271</v>
      </c>
    </row>
    <row r="416" spans="1:4" x14ac:dyDescent="0.25">
      <c r="A416" t="s">
        <v>318</v>
      </c>
      <c r="B416" t="s">
        <v>269</v>
      </c>
      <c r="C416" t="s">
        <v>190</v>
      </c>
      <c r="D416" t="s">
        <v>267</v>
      </c>
    </row>
    <row r="417" spans="1:4" x14ac:dyDescent="0.25">
      <c r="A417" t="s">
        <v>318</v>
      </c>
      <c r="B417" t="s">
        <v>84</v>
      </c>
      <c r="C417" t="s">
        <v>37</v>
      </c>
      <c r="D417" t="s">
        <v>84</v>
      </c>
    </row>
    <row r="418" spans="1:4" x14ac:dyDescent="0.25">
      <c r="A418" t="s">
        <v>318</v>
      </c>
      <c r="B418" t="s">
        <v>84</v>
      </c>
      <c r="C418" t="s">
        <v>19</v>
      </c>
      <c r="D418" t="s">
        <v>272</v>
      </c>
    </row>
    <row r="419" spans="1:4" x14ac:dyDescent="0.25">
      <c r="A419" t="s">
        <v>318</v>
      </c>
      <c r="B419" t="s">
        <v>84</v>
      </c>
      <c r="C419" t="s">
        <v>42</v>
      </c>
      <c r="D419" t="s">
        <v>273</v>
      </c>
    </row>
    <row r="420" spans="1:4" x14ac:dyDescent="0.25">
      <c r="A420" t="s">
        <v>318</v>
      </c>
      <c r="B420" t="s">
        <v>84</v>
      </c>
      <c r="C420" t="s">
        <v>274</v>
      </c>
      <c r="D420" t="s">
        <v>275</v>
      </c>
    </row>
    <row r="421" spans="1:4" x14ac:dyDescent="0.25">
      <c r="A421" t="s">
        <v>318</v>
      </c>
      <c r="B421" t="s">
        <v>84</v>
      </c>
      <c r="C421" t="s">
        <v>200</v>
      </c>
      <c r="D421" t="s">
        <v>276</v>
      </c>
    </row>
    <row r="422" spans="1:4" x14ac:dyDescent="0.25">
      <c r="A422" t="s">
        <v>318</v>
      </c>
      <c r="B422" t="s">
        <v>84</v>
      </c>
      <c r="C422" t="s">
        <v>30</v>
      </c>
      <c r="D422" t="s">
        <v>277</v>
      </c>
    </row>
    <row r="423" spans="1:4" x14ac:dyDescent="0.25">
      <c r="A423" t="s">
        <v>318</v>
      </c>
      <c r="B423" t="s">
        <v>84</v>
      </c>
      <c r="C423" t="s">
        <v>278</v>
      </c>
      <c r="D423" t="s">
        <v>279</v>
      </c>
    </row>
    <row r="424" spans="1:4" x14ac:dyDescent="0.25">
      <c r="A424" t="s">
        <v>318</v>
      </c>
      <c r="B424" t="s">
        <v>84</v>
      </c>
      <c r="C424" t="s">
        <v>280</v>
      </c>
      <c r="D424" t="s">
        <v>281</v>
      </c>
    </row>
    <row r="425" spans="1:4" x14ac:dyDescent="0.25">
      <c r="A425" t="s">
        <v>318</v>
      </c>
      <c r="B425" t="s">
        <v>84</v>
      </c>
      <c r="C425" t="s">
        <v>15</v>
      </c>
      <c r="D425" t="s">
        <v>282</v>
      </c>
    </row>
    <row r="426" spans="1:4" x14ac:dyDescent="0.25">
      <c r="A426" t="s">
        <v>318</v>
      </c>
      <c r="B426" t="s">
        <v>84</v>
      </c>
      <c r="C426" t="s">
        <v>283</v>
      </c>
      <c r="D426" t="s">
        <v>284</v>
      </c>
    </row>
    <row r="427" spans="1:4" x14ac:dyDescent="0.25">
      <c r="A427" t="s">
        <v>318</v>
      </c>
      <c r="B427" t="s">
        <v>64</v>
      </c>
      <c r="C427" t="s">
        <v>6</v>
      </c>
      <c r="D427" t="s">
        <v>285</v>
      </c>
    </row>
    <row r="428" spans="1:4" x14ac:dyDescent="0.25">
      <c r="A428" t="s">
        <v>318</v>
      </c>
      <c r="B428" t="s">
        <v>64</v>
      </c>
      <c r="C428" t="s">
        <v>54</v>
      </c>
      <c r="D428" t="s">
        <v>286</v>
      </c>
    </row>
    <row r="429" spans="1:4" x14ac:dyDescent="0.25">
      <c r="A429" t="s">
        <v>318</v>
      </c>
      <c r="B429" t="s">
        <v>64</v>
      </c>
      <c r="C429" t="s">
        <v>38</v>
      </c>
      <c r="D429" t="s">
        <v>287</v>
      </c>
    </row>
    <row r="430" spans="1:4" x14ac:dyDescent="0.25">
      <c r="A430" t="s">
        <v>318</v>
      </c>
      <c r="B430" t="s">
        <v>64</v>
      </c>
      <c r="C430" t="s">
        <v>71</v>
      </c>
      <c r="D430" t="s">
        <v>288</v>
      </c>
    </row>
    <row r="431" spans="1:4" x14ac:dyDescent="0.25">
      <c r="A431" t="s">
        <v>318</v>
      </c>
      <c r="B431" t="s">
        <v>64</v>
      </c>
      <c r="C431" t="s">
        <v>58</v>
      </c>
      <c r="D431" t="s">
        <v>289</v>
      </c>
    </row>
    <row r="432" spans="1:4" x14ac:dyDescent="0.25">
      <c r="A432" t="s">
        <v>318</v>
      </c>
      <c r="B432" t="s">
        <v>64</v>
      </c>
      <c r="C432" t="s">
        <v>39</v>
      </c>
      <c r="D432" t="s">
        <v>290</v>
      </c>
    </row>
    <row r="433" spans="1:4" x14ac:dyDescent="0.25">
      <c r="A433" t="s">
        <v>318</v>
      </c>
      <c r="B433" t="s">
        <v>64</v>
      </c>
      <c r="C433" t="s">
        <v>291</v>
      </c>
      <c r="D433" t="s">
        <v>292</v>
      </c>
    </row>
    <row r="434" spans="1:4" x14ac:dyDescent="0.25">
      <c r="A434" t="s">
        <v>318</v>
      </c>
      <c r="B434" t="s">
        <v>64</v>
      </c>
      <c r="C434" t="s">
        <v>293</v>
      </c>
      <c r="D434" t="s">
        <v>294</v>
      </c>
    </row>
    <row r="435" spans="1:4" x14ac:dyDescent="0.25">
      <c r="A435" t="s">
        <v>318</v>
      </c>
      <c r="B435" t="s">
        <v>64</v>
      </c>
      <c r="C435" t="s">
        <v>295</v>
      </c>
      <c r="D435" t="s">
        <v>296</v>
      </c>
    </row>
    <row r="436" spans="1:4" x14ac:dyDescent="0.25">
      <c r="A436" t="s">
        <v>318</v>
      </c>
      <c r="B436" t="s">
        <v>64</v>
      </c>
      <c r="C436" t="s">
        <v>297</v>
      </c>
      <c r="D436" t="s">
        <v>298</v>
      </c>
    </row>
    <row r="437" spans="1:4" x14ac:dyDescent="0.25">
      <c r="A437" t="s">
        <v>318</v>
      </c>
      <c r="B437" t="s">
        <v>64</v>
      </c>
      <c r="C437" t="s">
        <v>299</v>
      </c>
      <c r="D437" t="s">
        <v>300</v>
      </c>
    </row>
    <row r="438" spans="1:4" x14ac:dyDescent="0.25">
      <c r="A438" t="s">
        <v>318</v>
      </c>
      <c r="B438" t="s">
        <v>64</v>
      </c>
      <c r="C438" t="s">
        <v>301</v>
      </c>
      <c r="D438" t="s">
        <v>302</v>
      </c>
    </row>
    <row r="439" spans="1:4" x14ac:dyDescent="0.25">
      <c r="A439" t="s">
        <v>318</v>
      </c>
      <c r="B439" t="s">
        <v>64</v>
      </c>
      <c r="C439" t="s">
        <v>303</v>
      </c>
      <c r="D439" t="s">
        <v>66</v>
      </c>
    </row>
    <row r="440" spans="1:4" x14ac:dyDescent="0.25">
      <c r="A440" t="s">
        <v>318</v>
      </c>
      <c r="B440" t="s">
        <v>64</v>
      </c>
      <c r="C440" t="s">
        <v>19</v>
      </c>
      <c r="D440" t="e">
        <f>[12]SELL_PROFILE!B2</f>
        <v>#REF!</v>
      </c>
    </row>
    <row r="441" spans="1:4" x14ac:dyDescent="0.25">
      <c r="A441" t="s">
        <v>318</v>
      </c>
      <c r="B441" t="s">
        <v>64</v>
      </c>
      <c r="C441" t="s">
        <v>42</v>
      </c>
      <c r="D441" t="b">
        <f>RISK_ENGINE!B2="OK"</f>
        <v>0</v>
      </c>
    </row>
    <row r="442" spans="1:4" x14ac:dyDescent="0.25">
      <c r="A442" t="s">
        <v>318</v>
      </c>
      <c r="B442" t="s">
        <v>64</v>
      </c>
      <c r="C442" t="s">
        <v>266</v>
      </c>
      <c r="D442" t="e">
        <f>IF(SELL_ALLOWED,0.3,0)</f>
        <v>#NAME?</v>
      </c>
    </row>
    <row r="443" spans="1:4" x14ac:dyDescent="0.25">
      <c r="A443" t="s">
        <v>318</v>
      </c>
      <c r="B443" t="s">
        <v>64</v>
      </c>
      <c r="C443" t="s">
        <v>304</v>
      </c>
      <c r="D443" t="e">
        <f>AND(RISK_ENGINE!B2="ALERT",[13]MARKET!B2="VOL_SPIKE")</f>
        <v>#REF!</v>
      </c>
    </row>
    <row r="444" spans="1:4" x14ac:dyDescent="0.25">
      <c r="A444" t="s">
        <v>318</v>
      </c>
      <c r="B444" t="s">
        <v>305</v>
      </c>
      <c r="C444" t="s">
        <v>15</v>
      </c>
      <c r="D444" t="s">
        <v>306</v>
      </c>
    </row>
    <row r="445" spans="1:4" x14ac:dyDescent="0.25">
      <c r="A445" t="s">
        <v>318</v>
      </c>
      <c r="B445" t="s">
        <v>305</v>
      </c>
      <c r="C445" t="s">
        <v>12</v>
      </c>
      <c r="D445" t="s">
        <v>307</v>
      </c>
    </row>
    <row r="446" spans="1:4" x14ac:dyDescent="0.25">
      <c r="A446" t="s">
        <v>318</v>
      </c>
      <c r="B446" t="s">
        <v>305</v>
      </c>
      <c r="C446" t="s">
        <v>308</v>
      </c>
      <c r="D446" t="e">
        <f>SELL_ALLOWED_FINAL</f>
        <v>#NAME?</v>
      </c>
    </row>
    <row r="447" spans="1:4" x14ac:dyDescent="0.25">
      <c r="A447" t="s">
        <v>319</v>
      </c>
      <c r="B447" t="s">
        <v>78</v>
      </c>
      <c r="C447" t="s">
        <v>62</v>
      </c>
      <c r="D447" t="s">
        <v>232</v>
      </c>
    </row>
    <row r="448" spans="1:4" x14ac:dyDescent="0.25">
      <c r="A448" t="s">
        <v>319</v>
      </c>
      <c r="B448" t="s">
        <v>78</v>
      </c>
      <c r="C448" t="s">
        <v>29</v>
      </c>
      <c r="D448" t="s">
        <v>233</v>
      </c>
    </row>
    <row r="449" spans="1:4" x14ac:dyDescent="0.25">
      <c r="A449" t="s">
        <v>319</v>
      </c>
      <c r="B449" t="s">
        <v>78</v>
      </c>
      <c r="C449" t="s">
        <v>33</v>
      </c>
      <c r="D449" t="s">
        <v>234</v>
      </c>
    </row>
    <row r="450" spans="1:4" x14ac:dyDescent="0.25">
      <c r="A450" t="s">
        <v>319</v>
      </c>
      <c r="B450" t="s">
        <v>52</v>
      </c>
      <c r="C450" t="s">
        <v>6</v>
      </c>
      <c r="D450" t="s">
        <v>53</v>
      </c>
    </row>
    <row r="451" spans="1:4" x14ac:dyDescent="0.25">
      <c r="A451" t="s">
        <v>319</v>
      </c>
      <c r="B451" t="s">
        <v>52</v>
      </c>
      <c r="C451" t="s">
        <v>54</v>
      </c>
      <c r="D451" t="s">
        <v>55</v>
      </c>
    </row>
    <row r="452" spans="1:4" x14ac:dyDescent="0.25">
      <c r="A452" t="s">
        <v>319</v>
      </c>
      <c r="B452" t="s">
        <v>235</v>
      </c>
      <c r="C452" t="s">
        <v>37</v>
      </c>
      <c r="D452" t="s">
        <v>236</v>
      </c>
    </row>
    <row r="453" spans="1:4" x14ac:dyDescent="0.25">
      <c r="A453" t="s">
        <v>319</v>
      </c>
      <c r="B453" t="s">
        <v>235</v>
      </c>
      <c r="C453" t="s">
        <v>38</v>
      </c>
      <c r="D453" t="s">
        <v>237</v>
      </c>
    </row>
    <row r="454" spans="1:4" x14ac:dyDescent="0.25">
      <c r="A454" t="s">
        <v>319</v>
      </c>
      <c r="B454" t="s">
        <v>238</v>
      </c>
      <c r="C454" t="s">
        <v>10</v>
      </c>
      <c r="D454" t="s">
        <v>239</v>
      </c>
    </row>
    <row r="455" spans="1:4" x14ac:dyDescent="0.25">
      <c r="A455" t="s">
        <v>319</v>
      </c>
      <c r="B455" t="s">
        <v>238</v>
      </c>
      <c r="C455" t="s">
        <v>216</v>
      </c>
      <c r="D455" t="s">
        <v>240</v>
      </c>
    </row>
    <row r="456" spans="1:4" x14ac:dyDescent="0.25">
      <c r="A456" t="s">
        <v>319</v>
      </c>
      <c r="B456" t="s">
        <v>82</v>
      </c>
      <c r="C456" t="s">
        <v>19</v>
      </c>
      <c r="D456" t="s">
        <v>241</v>
      </c>
    </row>
    <row r="457" spans="1:4" x14ac:dyDescent="0.25">
      <c r="A457" t="s">
        <v>319</v>
      </c>
      <c r="B457" t="s">
        <v>82</v>
      </c>
      <c r="C457" t="s">
        <v>25</v>
      </c>
      <c r="D457" t="s">
        <v>242</v>
      </c>
    </row>
    <row r="458" spans="1:4" x14ac:dyDescent="0.25">
      <c r="A458" t="s">
        <v>319</v>
      </c>
      <c r="B458" t="s">
        <v>82</v>
      </c>
      <c r="C458" t="s">
        <v>243</v>
      </c>
      <c r="D458" t="s">
        <v>244</v>
      </c>
    </row>
    <row r="459" spans="1:4" x14ac:dyDescent="0.25">
      <c r="A459" t="s">
        <v>319</v>
      </c>
      <c r="B459" t="s">
        <v>82</v>
      </c>
      <c r="C459" t="s">
        <v>196</v>
      </c>
      <c r="D459" t="s">
        <v>245</v>
      </c>
    </row>
    <row r="460" spans="1:4" x14ac:dyDescent="0.25">
      <c r="A460" t="s">
        <v>319</v>
      </c>
      <c r="B460" t="s">
        <v>82</v>
      </c>
      <c r="C460" t="s">
        <v>216</v>
      </c>
      <c r="D460" t="s">
        <v>246</v>
      </c>
    </row>
    <row r="461" spans="1:4" x14ac:dyDescent="0.25">
      <c r="A461" t="s">
        <v>319</v>
      </c>
      <c r="B461" t="s">
        <v>56</v>
      </c>
      <c r="C461" t="s">
        <v>6</v>
      </c>
      <c r="D461" t="s">
        <v>247</v>
      </c>
    </row>
    <row r="462" spans="1:4" x14ac:dyDescent="0.25">
      <c r="A462" t="s">
        <v>319</v>
      </c>
      <c r="B462" t="s">
        <v>56</v>
      </c>
      <c r="C462" t="s">
        <v>46</v>
      </c>
      <c r="D462" t="s">
        <v>248</v>
      </c>
    </row>
    <row r="463" spans="1:4" x14ac:dyDescent="0.25">
      <c r="A463" t="s">
        <v>319</v>
      </c>
      <c r="B463" t="s">
        <v>56</v>
      </c>
      <c r="C463" t="s">
        <v>8</v>
      </c>
      <c r="D463" t="s">
        <v>249</v>
      </c>
    </row>
    <row r="464" spans="1:4" x14ac:dyDescent="0.25">
      <c r="A464" t="s">
        <v>319</v>
      </c>
      <c r="B464" t="s">
        <v>56</v>
      </c>
      <c r="C464" t="s">
        <v>30</v>
      </c>
      <c r="D464" t="s">
        <v>250</v>
      </c>
    </row>
    <row r="465" spans="1:4" x14ac:dyDescent="0.25">
      <c r="A465" t="s">
        <v>319</v>
      </c>
      <c r="B465" t="s">
        <v>56</v>
      </c>
      <c r="C465" t="s">
        <v>10</v>
      </c>
      <c r="D465" t="s">
        <v>251</v>
      </c>
    </row>
    <row r="466" spans="1:4" x14ac:dyDescent="0.25">
      <c r="A466" t="s">
        <v>319</v>
      </c>
      <c r="B466" t="s">
        <v>56</v>
      </c>
      <c r="C466" t="s">
        <v>12</v>
      </c>
      <c r="D466" t="s">
        <v>252</v>
      </c>
    </row>
    <row r="467" spans="1:4" x14ac:dyDescent="0.25">
      <c r="A467" t="s">
        <v>319</v>
      </c>
      <c r="B467" t="s">
        <v>56</v>
      </c>
      <c r="C467" t="s">
        <v>243</v>
      </c>
      <c r="D467" t="s">
        <v>253</v>
      </c>
    </row>
    <row r="468" spans="1:4" x14ac:dyDescent="0.25">
      <c r="A468" t="s">
        <v>319</v>
      </c>
      <c r="B468" t="s">
        <v>56</v>
      </c>
      <c r="C468" t="s">
        <v>254</v>
      </c>
      <c r="D468" t="s">
        <v>255</v>
      </c>
    </row>
    <row r="469" spans="1:4" x14ac:dyDescent="0.25">
      <c r="A469" t="s">
        <v>319</v>
      </c>
      <c r="B469" t="s">
        <v>56</v>
      </c>
      <c r="C469" t="s">
        <v>196</v>
      </c>
      <c r="D469" t="s">
        <v>256</v>
      </c>
    </row>
    <row r="470" spans="1:4" x14ac:dyDescent="0.25">
      <c r="A470" t="s">
        <v>319</v>
      </c>
      <c r="B470" t="s">
        <v>56</v>
      </c>
      <c r="C470" t="s">
        <v>216</v>
      </c>
      <c r="D470" t="s">
        <v>257</v>
      </c>
    </row>
    <row r="471" spans="1:4" x14ac:dyDescent="0.25">
      <c r="A471" t="s">
        <v>319</v>
      </c>
      <c r="B471" t="s">
        <v>56</v>
      </c>
      <c r="C471" t="s">
        <v>258</v>
      </c>
      <c r="D471" t="s">
        <v>259</v>
      </c>
    </row>
    <row r="472" spans="1:4" x14ac:dyDescent="0.25">
      <c r="A472" t="s">
        <v>319</v>
      </c>
      <c r="B472" t="s">
        <v>56</v>
      </c>
      <c r="C472" t="s">
        <v>229</v>
      </c>
      <c r="D472" t="s">
        <v>260</v>
      </c>
    </row>
    <row r="473" spans="1:4" x14ac:dyDescent="0.25">
      <c r="A473" t="s">
        <v>319</v>
      </c>
      <c r="B473" t="s">
        <v>56</v>
      </c>
      <c r="C473" t="s">
        <v>261</v>
      </c>
      <c r="D473" t="s">
        <v>262</v>
      </c>
    </row>
    <row r="474" spans="1:4" x14ac:dyDescent="0.25">
      <c r="A474" t="s">
        <v>319</v>
      </c>
      <c r="B474" t="s">
        <v>263</v>
      </c>
      <c r="C474" t="s">
        <v>264</v>
      </c>
      <c r="D474" t="s">
        <v>265</v>
      </c>
    </row>
    <row r="475" spans="1:4" x14ac:dyDescent="0.25">
      <c r="A475" t="s">
        <v>319</v>
      </c>
      <c r="B475" t="s">
        <v>263</v>
      </c>
      <c r="C475" t="s">
        <v>266</v>
      </c>
      <c r="D475" t="e">
        <f>[11]SELL_PROFILE_FIXED!M2</f>
        <v>#REF!</v>
      </c>
    </row>
    <row r="476" spans="1:4" x14ac:dyDescent="0.25">
      <c r="A476" t="s">
        <v>319</v>
      </c>
      <c r="B476" t="s">
        <v>263</v>
      </c>
      <c r="C476" t="s">
        <v>43</v>
      </c>
      <c r="D476" t="e">
        <f>[11]SELL_PROFILE_FIXED!N2</f>
        <v>#REF!</v>
      </c>
    </row>
    <row r="477" spans="1:4" x14ac:dyDescent="0.25">
      <c r="A477" t="s">
        <v>319</v>
      </c>
      <c r="B477" t="s">
        <v>263</v>
      </c>
      <c r="C477" t="s">
        <v>8</v>
      </c>
      <c r="D477" t="s">
        <v>267</v>
      </c>
    </row>
    <row r="478" spans="1:4" x14ac:dyDescent="0.25">
      <c r="A478" t="s">
        <v>319</v>
      </c>
      <c r="B478" t="s">
        <v>263</v>
      </c>
      <c r="C478" t="s">
        <v>223</v>
      </c>
      <c r="D478" t="s">
        <v>268</v>
      </c>
    </row>
    <row r="479" spans="1:4" x14ac:dyDescent="0.25">
      <c r="A479" t="s">
        <v>319</v>
      </c>
      <c r="B479" t="s">
        <v>67</v>
      </c>
      <c r="C479" t="s">
        <v>37</v>
      </c>
      <c r="D479" t="s">
        <v>24</v>
      </c>
    </row>
    <row r="480" spans="1:4" x14ac:dyDescent="0.25">
      <c r="A480" t="s">
        <v>319</v>
      </c>
      <c r="B480" t="s">
        <v>269</v>
      </c>
      <c r="C480" t="s">
        <v>19</v>
      </c>
      <c r="D480" t="s">
        <v>270</v>
      </c>
    </row>
    <row r="481" spans="1:4" x14ac:dyDescent="0.25">
      <c r="A481" t="s">
        <v>319</v>
      </c>
      <c r="B481" t="s">
        <v>269</v>
      </c>
      <c r="C481" t="s">
        <v>46</v>
      </c>
      <c r="D481" t="s">
        <v>271</v>
      </c>
    </row>
    <row r="482" spans="1:4" x14ac:dyDescent="0.25">
      <c r="A482" t="s">
        <v>319</v>
      </c>
      <c r="B482" t="s">
        <v>269</v>
      </c>
      <c r="C482" t="s">
        <v>190</v>
      </c>
      <c r="D482" t="s">
        <v>267</v>
      </c>
    </row>
    <row r="483" spans="1:4" x14ac:dyDescent="0.25">
      <c r="A483" t="s">
        <v>319</v>
      </c>
      <c r="B483" t="s">
        <v>84</v>
      </c>
      <c r="C483" t="s">
        <v>37</v>
      </c>
      <c r="D483" t="s">
        <v>84</v>
      </c>
    </row>
    <row r="484" spans="1:4" x14ac:dyDescent="0.25">
      <c r="A484" t="s">
        <v>319</v>
      </c>
      <c r="B484" t="s">
        <v>84</v>
      </c>
      <c r="C484" t="s">
        <v>19</v>
      </c>
      <c r="D484" t="s">
        <v>272</v>
      </c>
    </row>
    <row r="485" spans="1:4" x14ac:dyDescent="0.25">
      <c r="A485" t="s">
        <v>319</v>
      </c>
      <c r="B485" t="s">
        <v>84</v>
      </c>
      <c r="C485" t="s">
        <v>42</v>
      </c>
      <c r="D485" t="s">
        <v>273</v>
      </c>
    </row>
    <row r="486" spans="1:4" x14ac:dyDescent="0.25">
      <c r="A486" t="s">
        <v>319</v>
      </c>
      <c r="B486" t="s">
        <v>84</v>
      </c>
      <c r="C486" t="s">
        <v>274</v>
      </c>
      <c r="D486" t="s">
        <v>275</v>
      </c>
    </row>
    <row r="487" spans="1:4" x14ac:dyDescent="0.25">
      <c r="A487" t="s">
        <v>319</v>
      </c>
      <c r="B487" t="s">
        <v>84</v>
      </c>
      <c r="C487" t="s">
        <v>200</v>
      </c>
      <c r="D487" t="s">
        <v>276</v>
      </c>
    </row>
    <row r="488" spans="1:4" x14ac:dyDescent="0.25">
      <c r="A488" t="s">
        <v>319</v>
      </c>
      <c r="B488" t="s">
        <v>84</v>
      </c>
      <c r="C488" t="s">
        <v>30</v>
      </c>
      <c r="D488" t="s">
        <v>277</v>
      </c>
    </row>
    <row r="489" spans="1:4" x14ac:dyDescent="0.25">
      <c r="A489" t="s">
        <v>319</v>
      </c>
      <c r="B489" t="s">
        <v>84</v>
      </c>
      <c r="C489" t="s">
        <v>278</v>
      </c>
      <c r="D489" t="s">
        <v>279</v>
      </c>
    </row>
    <row r="490" spans="1:4" x14ac:dyDescent="0.25">
      <c r="A490" t="s">
        <v>319</v>
      </c>
      <c r="B490" t="s">
        <v>84</v>
      </c>
      <c r="C490" t="s">
        <v>280</v>
      </c>
      <c r="D490" t="s">
        <v>281</v>
      </c>
    </row>
    <row r="491" spans="1:4" x14ac:dyDescent="0.25">
      <c r="A491" t="s">
        <v>319</v>
      </c>
      <c r="B491" t="s">
        <v>84</v>
      </c>
      <c r="C491" t="s">
        <v>15</v>
      </c>
      <c r="D491" t="s">
        <v>282</v>
      </c>
    </row>
    <row r="492" spans="1:4" x14ac:dyDescent="0.25">
      <c r="A492" t="s">
        <v>319</v>
      </c>
      <c r="B492" t="s">
        <v>84</v>
      </c>
      <c r="C492" t="s">
        <v>283</v>
      </c>
      <c r="D492" t="s">
        <v>284</v>
      </c>
    </row>
    <row r="493" spans="1:4" x14ac:dyDescent="0.25">
      <c r="A493" t="s">
        <v>319</v>
      </c>
      <c r="B493" t="s">
        <v>64</v>
      </c>
      <c r="C493" t="s">
        <v>6</v>
      </c>
      <c r="D493" t="s">
        <v>285</v>
      </c>
    </row>
    <row r="494" spans="1:4" x14ac:dyDescent="0.25">
      <c r="A494" t="s">
        <v>319</v>
      </c>
      <c r="B494" t="s">
        <v>64</v>
      </c>
      <c r="C494" t="s">
        <v>54</v>
      </c>
      <c r="D494" t="s">
        <v>286</v>
      </c>
    </row>
    <row r="495" spans="1:4" x14ac:dyDescent="0.25">
      <c r="A495" t="s">
        <v>319</v>
      </c>
      <c r="B495" t="s">
        <v>64</v>
      </c>
      <c r="C495" t="s">
        <v>38</v>
      </c>
      <c r="D495" t="s">
        <v>287</v>
      </c>
    </row>
    <row r="496" spans="1:4" x14ac:dyDescent="0.25">
      <c r="A496" t="s">
        <v>319</v>
      </c>
      <c r="B496" t="s">
        <v>64</v>
      </c>
      <c r="C496" t="s">
        <v>71</v>
      </c>
      <c r="D496" t="s">
        <v>288</v>
      </c>
    </row>
    <row r="497" spans="1:4" x14ac:dyDescent="0.25">
      <c r="A497" t="s">
        <v>319</v>
      </c>
      <c r="B497" t="s">
        <v>64</v>
      </c>
      <c r="C497" t="s">
        <v>58</v>
      </c>
      <c r="D497" t="s">
        <v>289</v>
      </c>
    </row>
    <row r="498" spans="1:4" x14ac:dyDescent="0.25">
      <c r="A498" t="s">
        <v>319</v>
      </c>
      <c r="B498" t="s">
        <v>64</v>
      </c>
      <c r="C498" t="s">
        <v>39</v>
      </c>
      <c r="D498" t="s">
        <v>290</v>
      </c>
    </row>
    <row r="499" spans="1:4" x14ac:dyDescent="0.25">
      <c r="A499" t="s">
        <v>319</v>
      </c>
      <c r="B499" t="s">
        <v>64</v>
      </c>
      <c r="C499" t="s">
        <v>291</v>
      </c>
      <c r="D499" t="s">
        <v>292</v>
      </c>
    </row>
    <row r="500" spans="1:4" x14ac:dyDescent="0.25">
      <c r="A500" t="s">
        <v>319</v>
      </c>
      <c r="B500" t="s">
        <v>64</v>
      </c>
      <c r="C500" t="s">
        <v>293</v>
      </c>
      <c r="D500" t="s">
        <v>294</v>
      </c>
    </row>
    <row r="501" spans="1:4" x14ac:dyDescent="0.25">
      <c r="A501" t="s">
        <v>319</v>
      </c>
      <c r="B501" t="s">
        <v>64</v>
      </c>
      <c r="C501" t="s">
        <v>295</v>
      </c>
      <c r="D501" t="s">
        <v>296</v>
      </c>
    </row>
    <row r="502" spans="1:4" x14ac:dyDescent="0.25">
      <c r="A502" t="s">
        <v>319</v>
      </c>
      <c r="B502" t="s">
        <v>64</v>
      </c>
      <c r="C502" t="s">
        <v>297</v>
      </c>
      <c r="D502" t="s">
        <v>298</v>
      </c>
    </row>
    <row r="503" spans="1:4" x14ac:dyDescent="0.25">
      <c r="A503" t="s">
        <v>319</v>
      </c>
      <c r="B503" t="s">
        <v>64</v>
      </c>
      <c r="C503" t="s">
        <v>299</v>
      </c>
      <c r="D503" t="s">
        <v>300</v>
      </c>
    </row>
    <row r="504" spans="1:4" x14ac:dyDescent="0.25">
      <c r="A504" t="s">
        <v>319</v>
      </c>
      <c r="B504" t="s">
        <v>64</v>
      </c>
      <c r="C504" t="s">
        <v>301</v>
      </c>
      <c r="D504" t="s">
        <v>302</v>
      </c>
    </row>
    <row r="505" spans="1:4" x14ac:dyDescent="0.25">
      <c r="A505" t="s">
        <v>319</v>
      </c>
      <c r="B505" t="s">
        <v>64</v>
      </c>
      <c r="C505" t="s">
        <v>303</v>
      </c>
      <c r="D505" t="s">
        <v>66</v>
      </c>
    </row>
    <row r="506" spans="1:4" x14ac:dyDescent="0.25">
      <c r="A506" t="s">
        <v>319</v>
      </c>
      <c r="B506" t="s">
        <v>64</v>
      </c>
      <c r="C506" t="s">
        <v>19</v>
      </c>
      <c r="D506" t="e">
        <f>[12]SELL_PROFILE!B2</f>
        <v>#REF!</v>
      </c>
    </row>
    <row r="507" spans="1:4" x14ac:dyDescent="0.25">
      <c r="A507" t="s">
        <v>319</v>
      </c>
      <c r="B507" t="s">
        <v>64</v>
      </c>
      <c r="C507" t="s">
        <v>42</v>
      </c>
      <c r="D507" t="b">
        <f>RISK_ENGINE!B2="OK"</f>
        <v>0</v>
      </c>
    </row>
    <row r="508" spans="1:4" x14ac:dyDescent="0.25">
      <c r="A508" t="s">
        <v>319</v>
      </c>
      <c r="B508" t="s">
        <v>64</v>
      </c>
      <c r="C508" t="s">
        <v>266</v>
      </c>
      <c r="D508" t="e">
        <f>IF(SELL_ALLOWED,0.3,0)</f>
        <v>#NAME?</v>
      </c>
    </row>
    <row r="509" spans="1:4" x14ac:dyDescent="0.25">
      <c r="A509" t="s">
        <v>319</v>
      </c>
      <c r="B509" t="s">
        <v>64</v>
      </c>
      <c r="C509" t="s">
        <v>304</v>
      </c>
      <c r="D509" t="e">
        <f>AND(RISK_ENGINE!B2="ALERT",[13]MARKET!B2="VOL_SPIKE")</f>
        <v>#REF!</v>
      </c>
    </row>
    <row r="510" spans="1:4" x14ac:dyDescent="0.25">
      <c r="A510" t="s">
        <v>320</v>
      </c>
      <c r="B510" t="s">
        <v>78</v>
      </c>
      <c r="C510" t="s">
        <v>62</v>
      </c>
      <c r="D510" t="s">
        <v>232</v>
      </c>
    </row>
    <row r="511" spans="1:4" x14ac:dyDescent="0.25">
      <c r="A511" t="s">
        <v>320</v>
      </c>
      <c r="B511" t="s">
        <v>78</v>
      </c>
      <c r="C511" t="s">
        <v>29</v>
      </c>
      <c r="D511" t="s">
        <v>233</v>
      </c>
    </row>
    <row r="512" spans="1:4" x14ac:dyDescent="0.25">
      <c r="A512" t="s">
        <v>320</v>
      </c>
      <c r="B512" t="s">
        <v>78</v>
      </c>
      <c r="C512" t="s">
        <v>33</v>
      </c>
      <c r="D512" t="s">
        <v>234</v>
      </c>
    </row>
    <row r="513" spans="1:4" x14ac:dyDescent="0.25">
      <c r="A513" t="s">
        <v>320</v>
      </c>
      <c r="B513" t="s">
        <v>52</v>
      </c>
      <c r="C513" t="s">
        <v>6</v>
      </c>
      <c r="D513" t="s">
        <v>53</v>
      </c>
    </row>
    <row r="514" spans="1:4" x14ac:dyDescent="0.25">
      <c r="A514" t="s">
        <v>320</v>
      </c>
      <c r="B514" t="s">
        <v>52</v>
      </c>
      <c r="C514" t="s">
        <v>54</v>
      </c>
      <c r="D514" t="s">
        <v>55</v>
      </c>
    </row>
    <row r="515" spans="1:4" x14ac:dyDescent="0.25">
      <c r="A515" t="s">
        <v>320</v>
      </c>
      <c r="B515" t="s">
        <v>235</v>
      </c>
      <c r="C515" t="s">
        <v>37</v>
      </c>
      <c r="D515" t="s">
        <v>236</v>
      </c>
    </row>
    <row r="516" spans="1:4" x14ac:dyDescent="0.25">
      <c r="A516" t="s">
        <v>320</v>
      </c>
      <c r="B516" t="s">
        <v>235</v>
      </c>
      <c r="C516" t="s">
        <v>38</v>
      </c>
      <c r="D516" t="s">
        <v>237</v>
      </c>
    </row>
    <row r="517" spans="1:4" x14ac:dyDescent="0.25">
      <c r="A517" t="s">
        <v>320</v>
      </c>
      <c r="B517" t="s">
        <v>238</v>
      </c>
      <c r="C517" t="s">
        <v>10</v>
      </c>
      <c r="D517" t="s">
        <v>239</v>
      </c>
    </row>
    <row r="518" spans="1:4" x14ac:dyDescent="0.25">
      <c r="A518" t="s">
        <v>320</v>
      </c>
      <c r="B518" t="s">
        <v>238</v>
      </c>
      <c r="C518" t="s">
        <v>216</v>
      </c>
      <c r="D518" t="s">
        <v>240</v>
      </c>
    </row>
    <row r="519" spans="1:4" x14ac:dyDescent="0.25">
      <c r="A519" t="s">
        <v>320</v>
      </c>
      <c r="B519" t="s">
        <v>82</v>
      </c>
      <c r="C519" t="s">
        <v>19</v>
      </c>
      <c r="D519" t="s">
        <v>241</v>
      </c>
    </row>
    <row r="520" spans="1:4" x14ac:dyDescent="0.25">
      <c r="A520" t="s">
        <v>320</v>
      </c>
      <c r="B520" t="s">
        <v>82</v>
      </c>
      <c r="C520" t="s">
        <v>25</v>
      </c>
      <c r="D520" t="s">
        <v>242</v>
      </c>
    </row>
    <row r="521" spans="1:4" x14ac:dyDescent="0.25">
      <c r="A521" t="s">
        <v>320</v>
      </c>
      <c r="B521" t="s">
        <v>82</v>
      </c>
      <c r="C521" t="s">
        <v>243</v>
      </c>
      <c r="D521" t="s">
        <v>244</v>
      </c>
    </row>
    <row r="522" spans="1:4" x14ac:dyDescent="0.25">
      <c r="A522" t="s">
        <v>320</v>
      </c>
      <c r="B522" t="s">
        <v>82</v>
      </c>
      <c r="C522" t="s">
        <v>196</v>
      </c>
      <c r="D522" t="s">
        <v>245</v>
      </c>
    </row>
    <row r="523" spans="1:4" x14ac:dyDescent="0.25">
      <c r="A523" t="s">
        <v>320</v>
      </c>
      <c r="B523" t="s">
        <v>82</v>
      </c>
      <c r="C523" t="s">
        <v>216</v>
      </c>
      <c r="D523" t="s">
        <v>246</v>
      </c>
    </row>
    <row r="524" spans="1:4" x14ac:dyDescent="0.25">
      <c r="A524" t="s">
        <v>320</v>
      </c>
      <c r="B524" t="s">
        <v>56</v>
      </c>
      <c r="C524" t="s">
        <v>6</v>
      </c>
      <c r="D524" t="s">
        <v>247</v>
      </c>
    </row>
    <row r="525" spans="1:4" x14ac:dyDescent="0.25">
      <c r="A525" t="s">
        <v>320</v>
      </c>
      <c r="B525" t="s">
        <v>56</v>
      </c>
      <c r="C525" t="s">
        <v>46</v>
      </c>
      <c r="D525" t="s">
        <v>248</v>
      </c>
    </row>
    <row r="526" spans="1:4" x14ac:dyDescent="0.25">
      <c r="A526" t="s">
        <v>320</v>
      </c>
      <c r="B526" t="s">
        <v>56</v>
      </c>
      <c r="C526" t="s">
        <v>8</v>
      </c>
      <c r="D526" t="s">
        <v>249</v>
      </c>
    </row>
    <row r="527" spans="1:4" x14ac:dyDescent="0.25">
      <c r="A527" t="s">
        <v>320</v>
      </c>
      <c r="B527" t="s">
        <v>56</v>
      </c>
      <c r="C527" t="s">
        <v>30</v>
      </c>
      <c r="D527" t="s">
        <v>250</v>
      </c>
    </row>
    <row r="528" spans="1:4" x14ac:dyDescent="0.25">
      <c r="A528" t="s">
        <v>320</v>
      </c>
      <c r="B528" t="s">
        <v>56</v>
      </c>
      <c r="C528" t="s">
        <v>10</v>
      </c>
      <c r="D528" t="s">
        <v>251</v>
      </c>
    </row>
    <row r="529" spans="1:4" x14ac:dyDescent="0.25">
      <c r="A529" t="s">
        <v>320</v>
      </c>
      <c r="B529" t="s">
        <v>56</v>
      </c>
      <c r="C529" t="s">
        <v>12</v>
      </c>
      <c r="D529" t="s">
        <v>252</v>
      </c>
    </row>
    <row r="530" spans="1:4" x14ac:dyDescent="0.25">
      <c r="A530" t="s">
        <v>320</v>
      </c>
      <c r="B530" t="s">
        <v>56</v>
      </c>
      <c r="C530" t="s">
        <v>243</v>
      </c>
      <c r="D530" t="s">
        <v>253</v>
      </c>
    </row>
    <row r="531" spans="1:4" x14ac:dyDescent="0.25">
      <c r="A531" t="s">
        <v>320</v>
      </c>
      <c r="B531" t="s">
        <v>56</v>
      </c>
      <c r="C531" t="s">
        <v>254</v>
      </c>
      <c r="D531" t="s">
        <v>255</v>
      </c>
    </row>
    <row r="532" spans="1:4" x14ac:dyDescent="0.25">
      <c r="A532" t="s">
        <v>320</v>
      </c>
      <c r="B532" t="s">
        <v>56</v>
      </c>
      <c r="C532" t="s">
        <v>196</v>
      </c>
      <c r="D532" t="s">
        <v>256</v>
      </c>
    </row>
    <row r="533" spans="1:4" x14ac:dyDescent="0.25">
      <c r="A533" t="s">
        <v>320</v>
      </c>
      <c r="B533" t="s">
        <v>56</v>
      </c>
      <c r="C533" t="s">
        <v>216</v>
      </c>
      <c r="D533" t="s">
        <v>257</v>
      </c>
    </row>
    <row r="534" spans="1:4" x14ac:dyDescent="0.25">
      <c r="A534" t="s">
        <v>320</v>
      </c>
      <c r="B534" t="s">
        <v>56</v>
      </c>
      <c r="C534" t="s">
        <v>258</v>
      </c>
      <c r="D534" t="s">
        <v>259</v>
      </c>
    </row>
    <row r="535" spans="1:4" x14ac:dyDescent="0.25">
      <c r="A535" t="s">
        <v>320</v>
      </c>
      <c r="B535" t="s">
        <v>56</v>
      </c>
      <c r="C535" t="s">
        <v>229</v>
      </c>
      <c r="D535" t="s">
        <v>260</v>
      </c>
    </row>
    <row r="536" spans="1:4" x14ac:dyDescent="0.25">
      <c r="A536" t="s">
        <v>320</v>
      </c>
      <c r="B536" t="s">
        <v>56</v>
      </c>
      <c r="C536" t="s">
        <v>261</v>
      </c>
      <c r="D536" t="s">
        <v>262</v>
      </c>
    </row>
    <row r="537" spans="1:4" x14ac:dyDescent="0.25">
      <c r="A537" t="s">
        <v>320</v>
      </c>
      <c r="B537" t="s">
        <v>263</v>
      </c>
      <c r="C537" t="s">
        <v>264</v>
      </c>
      <c r="D537" t="s">
        <v>265</v>
      </c>
    </row>
    <row r="538" spans="1:4" x14ac:dyDescent="0.25">
      <c r="A538" t="s">
        <v>320</v>
      </c>
      <c r="B538" t="s">
        <v>263</v>
      </c>
      <c r="C538" t="s">
        <v>266</v>
      </c>
      <c r="D538" t="e">
        <f>[11]SELL_PROFILE_FIXED!M2</f>
        <v>#REF!</v>
      </c>
    </row>
    <row r="539" spans="1:4" x14ac:dyDescent="0.25">
      <c r="A539" t="s">
        <v>320</v>
      </c>
      <c r="B539" t="s">
        <v>263</v>
      </c>
      <c r="C539" t="s">
        <v>43</v>
      </c>
      <c r="D539" t="e">
        <f>[11]SELL_PROFILE_FIXED!N2</f>
        <v>#REF!</v>
      </c>
    </row>
    <row r="540" spans="1:4" x14ac:dyDescent="0.25">
      <c r="A540" t="s">
        <v>320</v>
      </c>
      <c r="B540" t="s">
        <v>263</v>
      </c>
      <c r="C540" t="s">
        <v>8</v>
      </c>
      <c r="D540" t="s">
        <v>267</v>
      </c>
    </row>
    <row r="541" spans="1:4" x14ac:dyDescent="0.25">
      <c r="A541" t="s">
        <v>320</v>
      </c>
      <c r="B541" t="s">
        <v>263</v>
      </c>
      <c r="C541" t="s">
        <v>223</v>
      </c>
      <c r="D541" t="s">
        <v>268</v>
      </c>
    </row>
    <row r="542" spans="1:4" x14ac:dyDescent="0.25">
      <c r="A542" t="s">
        <v>320</v>
      </c>
      <c r="B542" t="s">
        <v>67</v>
      </c>
      <c r="C542" t="s">
        <v>37</v>
      </c>
      <c r="D542" t="s">
        <v>24</v>
      </c>
    </row>
    <row r="543" spans="1:4" x14ac:dyDescent="0.25">
      <c r="A543" t="s">
        <v>320</v>
      </c>
      <c r="B543" t="s">
        <v>269</v>
      </c>
      <c r="C543" t="s">
        <v>19</v>
      </c>
      <c r="D543" t="s">
        <v>270</v>
      </c>
    </row>
    <row r="544" spans="1:4" x14ac:dyDescent="0.25">
      <c r="A544" t="s">
        <v>320</v>
      </c>
      <c r="B544" t="s">
        <v>269</v>
      </c>
      <c r="C544" t="s">
        <v>46</v>
      </c>
      <c r="D544" t="s">
        <v>271</v>
      </c>
    </row>
    <row r="545" spans="1:4" x14ac:dyDescent="0.25">
      <c r="A545" t="s">
        <v>320</v>
      </c>
      <c r="B545" t="s">
        <v>269</v>
      </c>
      <c r="C545" t="s">
        <v>190</v>
      </c>
      <c r="D545" t="s">
        <v>267</v>
      </c>
    </row>
    <row r="546" spans="1:4" x14ac:dyDescent="0.25">
      <c r="A546" t="s">
        <v>320</v>
      </c>
      <c r="B546" t="s">
        <v>84</v>
      </c>
      <c r="C546" t="s">
        <v>37</v>
      </c>
      <c r="D546" t="s">
        <v>84</v>
      </c>
    </row>
    <row r="547" spans="1:4" x14ac:dyDescent="0.25">
      <c r="A547" t="s">
        <v>320</v>
      </c>
      <c r="B547" t="s">
        <v>84</v>
      </c>
      <c r="C547" t="s">
        <v>19</v>
      </c>
      <c r="D547" t="s">
        <v>272</v>
      </c>
    </row>
    <row r="548" spans="1:4" x14ac:dyDescent="0.25">
      <c r="A548" t="s">
        <v>320</v>
      </c>
      <c r="B548" t="s">
        <v>84</v>
      </c>
      <c r="C548" t="s">
        <v>42</v>
      </c>
      <c r="D548" t="s">
        <v>273</v>
      </c>
    </row>
    <row r="549" spans="1:4" x14ac:dyDescent="0.25">
      <c r="A549" t="s">
        <v>320</v>
      </c>
      <c r="B549" t="s">
        <v>84</v>
      </c>
      <c r="C549" t="s">
        <v>274</v>
      </c>
      <c r="D549" t="s">
        <v>275</v>
      </c>
    </row>
    <row r="550" spans="1:4" x14ac:dyDescent="0.25">
      <c r="A550" t="s">
        <v>320</v>
      </c>
      <c r="B550" t="s">
        <v>84</v>
      </c>
      <c r="C550" t="s">
        <v>200</v>
      </c>
      <c r="D550" t="s">
        <v>276</v>
      </c>
    </row>
    <row r="551" spans="1:4" x14ac:dyDescent="0.25">
      <c r="A551" t="s">
        <v>320</v>
      </c>
      <c r="B551" t="s">
        <v>84</v>
      </c>
      <c r="C551" t="s">
        <v>30</v>
      </c>
      <c r="D551" t="s">
        <v>277</v>
      </c>
    </row>
    <row r="552" spans="1:4" x14ac:dyDescent="0.25">
      <c r="A552" t="s">
        <v>320</v>
      </c>
      <c r="B552" t="s">
        <v>84</v>
      </c>
      <c r="C552" t="s">
        <v>278</v>
      </c>
      <c r="D552" t="s">
        <v>279</v>
      </c>
    </row>
    <row r="553" spans="1:4" x14ac:dyDescent="0.25">
      <c r="A553" t="s">
        <v>320</v>
      </c>
      <c r="B553" t="s">
        <v>84</v>
      </c>
      <c r="C553" t="s">
        <v>280</v>
      </c>
      <c r="D553" t="s">
        <v>281</v>
      </c>
    </row>
    <row r="554" spans="1:4" x14ac:dyDescent="0.25">
      <c r="A554" t="s">
        <v>320</v>
      </c>
      <c r="B554" t="s">
        <v>84</v>
      </c>
      <c r="C554" t="s">
        <v>15</v>
      </c>
      <c r="D554" t="s">
        <v>282</v>
      </c>
    </row>
    <row r="555" spans="1:4" x14ac:dyDescent="0.25">
      <c r="A555" t="s">
        <v>320</v>
      </c>
      <c r="B555" t="s">
        <v>84</v>
      </c>
      <c r="C555" t="s">
        <v>283</v>
      </c>
      <c r="D555" t="s">
        <v>284</v>
      </c>
    </row>
    <row r="556" spans="1:4" x14ac:dyDescent="0.25">
      <c r="A556" t="s">
        <v>320</v>
      </c>
      <c r="B556" t="s">
        <v>64</v>
      </c>
      <c r="C556" t="s">
        <v>6</v>
      </c>
      <c r="D556" t="s">
        <v>285</v>
      </c>
    </row>
    <row r="557" spans="1:4" x14ac:dyDescent="0.25">
      <c r="A557" t="s">
        <v>320</v>
      </c>
      <c r="B557" t="s">
        <v>64</v>
      </c>
      <c r="C557" t="s">
        <v>54</v>
      </c>
      <c r="D557" t="s">
        <v>286</v>
      </c>
    </row>
    <row r="558" spans="1:4" x14ac:dyDescent="0.25">
      <c r="A558" t="s">
        <v>320</v>
      </c>
      <c r="B558" t="s">
        <v>64</v>
      </c>
      <c r="C558" t="s">
        <v>38</v>
      </c>
      <c r="D558" t="s">
        <v>287</v>
      </c>
    </row>
    <row r="559" spans="1:4" x14ac:dyDescent="0.25">
      <c r="A559" t="s">
        <v>320</v>
      </c>
      <c r="B559" t="s">
        <v>64</v>
      </c>
      <c r="C559" t="s">
        <v>71</v>
      </c>
      <c r="D559" t="s">
        <v>288</v>
      </c>
    </row>
    <row r="560" spans="1:4" x14ac:dyDescent="0.25">
      <c r="A560" t="s">
        <v>320</v>
      </c>
      <c r="B560" t="s">
        <v>64</v>
      </c>
      <c r="C560" t="s">
        <v>58</v>
      </c>
      <c r="D560" t="s">
        <v>289</v>
      </c>
    </row>
    <row r="561" spans="1:4" x14ac:dyDescent="0.25">
      <c r="A561" t="s">
        <v>320</v>
      </c>
      <c r="B561" t="s">
        <v>64</v>
      </c>
      <c r="C561" t="s">
        <v>39</v>
      </c>
      <c r="D561" t="s">
        <v>290</v>
      </c>
    </row>
    <row r="562" spans="1:4" x14ac:dyDescent="0.25">
      <c r="A562" t="s">
        <v>320</v>
      </c>
      <c r="B562" t="s">
        <v>64</v>
      </c>
      <c r="C562" t="s">
        <v>291</v>
      </c>
      <c r="D562" t="s">
        <v>292</v>
      </c>
    </row>
    <row r="563" spans="1:4" x14ac:dyDescent="0.25">
      <c r="A563" t="s">
        <v>320</v>
      </c>
      <c r="B563" t="s">
        <v>64</v>
      </c>
      <c r="C563" t="s">
        <v>293</v>
      </c>
      <c r="D563" t="s">
        <v>294</v>
      </c>
    </row>
    <row r="564" spans="1:4" x14ac:dyDescent="0.25">
      <c r="A564" t="s">
        <v>320</v>
      </c>
      <c r="B564" t="s">
        <v>64</v>
      </c>
      <c r="C564" t="s">
        <v>295</v>
      </c>
      <c r="D564" t="s">
        <v>296</v>
      </c>
    </row>
    <row r="565" spans="1:4" x14ac:dyDescent="0.25">
      <c r="A565" t="s">
        <v>320</v>
      </c>
      <c r="B565" t="s">
        <v>64</v>
      </c>
      <c r="C565" t="s">
        <v>297</v>
      </c>
      <c r="D565" t="s">
        <v>298</v>
      </c>
    </row>
    <row r="566" spans="1:4" x14ac:dyDescent="0.25">
      <c r="A566" t="s">
        <v>320</v>
      </c>
      <c r="B566" t="s">
        <v>64</v>
      </c>
      <c r="C566" t="s">
        <v>299</v>
      </c>
      <c r="D566" t="s">
        <v>300</v>
      </c>
    </row>
    <row r="567" spans="1:4" x14ac:dyDescent="0.25">
      <c r="A567" t="s">
        <v>320</v>
      </c>
      <c r="B567" t="s">
        <v>64</v>
      </c>
      <c r="C567" t="s">
        <v>19</v>
      </c>
      <c r="D567" t="e">
        <f>[12]SELL_PROFILE!B2</f>
        <v>#REF!</v>
      </c>
    </row>
    <row r="568" spans="1:4" x14ac:dyDescent="0.25">
      <c r="A568" t="s">
        <v>320</v>
      </c>
      <c r="B568" t="s">
        <v>64</v>
      </c>
      <c r="C568" t="s">
        <v>42</v>
      </c>
      <c r="D568" t="b">
        <f>RISK_ENGINE!B2="OK"</f>
        <v>0</v>
      </c>
    </row>
    <row r="569" spans="1:4" x14ac:dyDescent="0.25">
      <c r="A569" t="s">
        <v>320</v>
      </c>
      <c r="B569" t="s">
        <v>64</v>
      </c>
      <c r="C569" t="s">
        <v>266</v>
      </c>
      <c r="D569" t="e">
        <f>IF(SELL_ALLOWED,0.3,0)</f>
        <v>#NAME?</v>
      </c>
    </row>
    <row r="570" spans="1:4" x14ac:dyDescent="0.25">
      <c r="A570" t="s">
        <v>320</v>
      </c>
      <c r="B570" t="s">
        <v>64</v>
      </c>
      <c r="C570" t="s">
        <v>304</v>
      </c>
      <c r="D570" t="e">
        <f>AND(RISK_ENGINE!B2="ALERT",[13]MARKET!B2="VOL_SPIKE")</f>
        <v>#REF!</v>
      </c>
    </row>
    <row r="571" spans="1:4" x14ac:dyDescent="0.25">
      <c r="A571" t="s">
        <v>321</v>
      </c>
      <c r="B571" t="s">
        <v>78</v>
      </c>
      <c r="C571" t="s">
        <v>62</v>
      </c>
      <c r="D571" t="s">
        <v>232</v>
      </c>
    </row>
    <row r="572" spans="1:4" x14ac:dyDescent="0.25">
      <c r="A572" t="s">
        <v>321</v>
      </c>
      <c r="B572" t="s">
        <v>78</v>
      </c>
      <c r="C572" t="s">
        <v>29</v>
      </c>
      <c r="D572" t="s">
        <v>233</v>
      </c>
    </row>
    <row r="573" spans="1:4" x14ac:dyDescent="0.25">
      <c r="A573" t="s">
        <v>321</v>
      </c>
      <c r="B573" t="s">
        <v>78</v>
      </c>
      <c r="C573" t="s">
        <v>33</v>
      </c>
      <c r="D573" t="s">
        <v>234</v>
      </c>
    </row>
    <row r="574" spans="1:4" x14ac:dyDescent="0.25">
      <c r="A574" t="s">
        <v>321</v>
      </c>
      <c r="B574" t="s">
        <v>52</v>
      </c>
      <c r="C574" t="s">
        <v>6</v>
      </c>
      <c r="D574" t="s">
        <v>53</v>
      </c>
    </row>
    <row r="575" spans="1:4" x14ac:dyDescent="0.25">
      <c r="A575" t="s">
        <v>321</v>
      </c>
      <c r="B575" t="s">
        <v>52</v>
      </c>
      <c r="C575" t="s">
        <v>54</v>
      </c>
      <c r="D575" t="s">
        <v>55</v>
      </c>
    </row>
    <row r="576" spans="1:4" x14ac:dyDescent="0.25">
      <c r="A576" t="s">
        <v>321</v>
      </c>
      <c r="B576" t="s">
        <v>235</v>
      </c>
      <c r="C576" t="s">
        <v>37</v>
      </c>
      <c r="D576" t="s">
        <v>236</v>
      </c>
    </row>
    <row r="577" spans="1:4" x14ac:dyDescent="0.25">
      <c r="A577" t="s">
        <v>321</v>
      </c>
      <c r="B577" t="s">
        <v>235</v>
      </c>
      <c r="C577" t="s">
        <v>38</v>
      </c>
      <c r="D577" t="s">
        <v>237</v>
      </c>
    </row>
    <row r="578" spans="1:4" x14ac:dyDescent="0.25">
      <c r="A578" t="s">
        <v>321</v>
      </c>
      <c r="B578" t="s">
        <v>238</v>
      </c>
      <c r="C578" t="s">
        <v>10</v>
      </c>
      <c r="D578" t="s">
        <v>239</v>
      </c>
    </row>
    <row r="579" spans="1:4" x14ac:dyDescent="0.25">
      <c r="A579" t="s">
        <v>321</v>
      </c>
      <c r="B579" t="s">
        <v>238</v>
      </c>
      <c r="C579" t="s">
        <v>216</v>
      </c>
      <c r="D579" t="s">
        <v>240</v>
      </c>
    </row>
    <row r="580" spans="1:4" x14ac:dyDescent="0.25">
      <c r="A580" t="s">
        <v>321</v>
      </c>
      <c r="B580" t="s">
        <v>82</v>
      </c>
      <c r="C580" t="s">
        <v>19</v>
      </c>
      <c r="D580" t="s">
        <v>241</v>
      </c>
    </row>
    <row r="581" spans="1:4" x14ac:dyDescent="0.25">
      <c r="A581" t="s">
        <v>321</v>
      </c>
      <c r="B581" t="s">
        <v>82</v>
      </c>
      <c r="C581" t="s">
        <v>25</v>
      </c>
      <c r="D581" t="s">
        <v>242</v>
      </c>
    </row>
    <row r="582" spans="1:4" x14ac:dyDescent="0.25">
      <c r="A582" t="s">
        <v>321</v>
      </c>
      <c r="B582" t="s">
        <v>82</v>
      </c>
      <c r="C582" t="s">
        <v>243</v>
      </c>
      <c r="D582" t="s">
        <v>244</v>
      </c>
    </row>
    <row r="583" spans="1:4" x14ac:dyDescent="0.25">
      <c r="A583" t="s">
        <v>321</v>
      </c>
      <c r="B583" t="s">
        <v>82</v>
      </c>
      <c r="C583" t="s">
        <v>196</v>
      </c>
      <c r="D583" t="s">
        <v>245</v>
      </c>
    </row>
    <row r="584" spans="1:4" x14ac:dyDescent="0.25">
      <c r="A584" t="s">
        <v>321</v>
      </c>
      <c r="B584" t="s">
        <v>82</v>
      </c>
      <c r="C584" t="s">
        <v>216</v>
      </c>
      <c r="D584" t="s">
        <v>246</v>
      </c>
    </row>
    <row r="585" spans="1:4" x14ac:dyDescent="0.25">
      <c r="A585" t="s">
        <v>321</v>
      </c>
      <c r="B585" t="s">
        <v>56</v>
      </c>
      <c r="C585" t="s">
        <v>6</v>
      </c>
      <c r="D585" t="s">
        <v>247</v>
      </c>
    </row>
    <row r="586" spans="1:4" x14ac:dyDescent="0.25">
      <c r="A586" t="s">
        <v>321</v>
      </c>
      <c r="B586" t="s">
        <v>56</v>
      </c>
      <c r="C586" t="s">
        <v>46</v>
      </c>
      <c r="D586" t="s">
        <v>248</v>
      </c>
    </row>
    <row r="587" spans="1:4" x14ac:dyDescent="0.25">
      <c r="A587" t="s">
        <v>321</v>
      </c>
      <c r="B587" t="s">
        <v>56</v>
      </c>
      <c r="C587" t="s">
        <v>8</v>
      </c>
      <c r="D587" t="s">
        <v>249</v>
      </c>
    </row>
    <row r="588" spans="1:4" x14ac:dyDescent="0.25">
      <c r="A588" t="s">
        <v>321</v>
      </c>
      <c r="B588" t="s">
        <v>56</v>
      </c>
      <c r="C588" t="s">
        <v>30</v>
      </c>
      <c r="D588" t="s">
        <v>250</v>
      </c>
    </row>
    <row r="589" spans="1:4" x14ac:dyDescent="0.25">
      <c r="A589" t="s">
        <v>321</v>
      </c>
      <c r="B589" t="s">
        <v>56</v>
      </c>
      <c r="C589" t="s">
        <v>10</v>
      </c>
      <c r="D589" t="s">
        <v>251</v>
      </c>
    </row>
    <row r="590" spans="1:4" x14ac:dyDescent="0.25">
      <c r="A590" t="s">
        <v>321</v>
      </c>
      <c r="B590" t="s">
        <v>56</v>
      </c>
      <c r="C590" t="s">
        <v>12</v>
      </c>
      <c r="D590" t="s">
        <v>252</v>
      </c>
    </row>
    <row r="591" spans="1:4" x14ac:dyDescent="0.25">
      <c r="A591" t="s">
        <v>321</v>
      </c>
      <c r="B591" t="s">
        <v>56</v>
      </c>
      <c r="C591" t="s">
        <v>243</v>
      </c>
      <c r="D591" t="s">
        <v>253</v>
      </c>
    </row>
    <row r="592" spans="1:4" x14ac:dyDescent="0.25">
      <c r="A592" t="s">
        <v>321</v>
      </c>
      <c r="B592" t="s">
        <v>56</v>
      </c>
      <c r="C592" t="s">
        <v>254</v>
      </c>
      <c r="D592" t="s">
        <v>255</v>
      </c>
    </row>
    <row r="593" spans="1:4" x14ac:dyDescent="0.25">
      <c r="A593" t="s">
        <v>321</v>
      </c>
      <c r="B593" t="s">
        <v>56</v>
      </c>
      <c r="C593" t="s">
        <v>196</v>
      </c>
      <c r="D593" t="s">
        <v>256</v>
      </c>
    </row>
    <row r="594" spans="1:4" x14ac:dyDescent="0.25">
      <c r="A594" t="s">
        <v>321</v>
      </c>
      <c r="B594" t="s">
        <v>56</v>
      </c>
      <c r="C594" t="s">
        <v>216</v>
      </c>
      <c r="D594" t="s">
        <v>257</v>
      </c>
    </row>
    <row r="595" spans="1:4" x14ac:dyDescent="0.25">
      <c r="A595" t="s">
        <v>321</v>
      </c>
      <c r="B595" t="s">
        <v>56</v>
      </c>
      <c r="C595" t="s">
        <v>258</v>
      </c>
      <c r="D595" t="s">
        <v>259</v>
      </c>
    </row>
    <row r="596" spans="1:4" x14ac:dyDescent="0.25">
      <c r="A596" t="s">
        <v>321</v>
      </c>
      <c r="B596" t="s">
        <v>56</v>
      </c>
      <c r="C596" t="s">
        <v>229</v>
      </c>
      <c r="D596" t="s">
        <v>260</v>
      </c>
    </row>
    <row r="597" spans="1:4" x14ac:dyDescent="0.25">
      <c r="A597" t="s">
        <v>321</v>
      </c>
      <c r="B597" t="s">
        <v>56</v>
      </c>
      <c r="C597" t="s">
        <v>261</v>
      </c>
      <c r="D597" t="s">
        <v>262</v>
      </c>
    </row>
    <row r="598" spans="1:4" x14ac:dyDescent="0.25">
      <c r="A598" t="s">
        <v>321</v>
      </c>
      <c r="B598" t="s">
        <v>263</v>
      </c>
      <c r="C598" t="s">
        <v>264</v>
      </c>
      <c r="D598" t="s">
        <v>265</v>
      </c>
    </row>
    <row r="599" spans="1:4" x14ac:dyDescent="0.25">
      <c r="A599" t="s">
        <v>321</v>
      </c>
      <c r="B599" t="s">
        <v>263</v>
      </c>
      <c r="C599" t="s">
        <v>266</v>
      </c>
      <c r="D599" t="e">
        <f>[11]SELL_PROFILE_FIXED!M2</f>
        <v>#REF!</v>
      </c>
    </row>
    <row r="600" spans="1:4" x14ac:dyDescent="0.25">
      <c r="A600" t="s">
        <v>321</v>
      </c>
      <c r="B600" t="s">
        <v>263</v>
      </c>
      <c r="C600" t="s">
        <v>43</v>
      </c>
      <c r="D600" t="e">
        <f>[11]SELL_PROFILE_FIXED!N2</f>
        <v>#REF!</v>
      </c>
    </row>
    <row r="601" spans="1:4" x14ac:dyDescent="0.25">
      <c r="A601" t="s">
        <v>321</v>
      </c>
      <c r="B601" t="s">
        <v>263</v>
      </c>
      <c r="C601" t="s">
        <v>8</v>
      </c>
      <c r="D601" t="s">
        <v>267</v>
      </c>
    </row>
    <row r="602" spans="1:4" x14ac:dyDescent="0.25">
      <c r="A602" t="s">
        <v>321</v>
      </c>
      <c r="B602" t="s">
        <v>263</v>
      </c>
      <c r="C602" t="s">
        <v>223</v>
      </c>
      <c r="D602" t="s">
        <v>268</v>
      </c>
    </row>
    <row r="603" spans="1:4" x14ac:dyDescent="0.25">
      <c r="A603" t="s">
        <v>321</v>
      </c>
      <c r="B603" t="s">
        <v>67</v>
      </c>
      <c r="C603" t="s">
        <v>37</v>
      </c>
      <c r="D603" t="s">
        <v>24</v>
      </c>
    </row>
    <row r="604" spans="1:4" x14ac:dyDescent="0.25">
      <c r="A604" t="s">
        <v>321</v>
      </c>
      <c r="B604" t="s">
        <v>269</v>
      </c>
      <c r="C604" t="s">
        <v>19</v>
      </c>
      <c r="D604" t="s">
        <v>270</v>
      </c>
    </row>
    <row r="605" spans="1:4" x14ac:dyDescent="0.25">
      <c r="A605" t="s">
        <v>321</v>
      </c>
      <c r="B605" t="s">
        <v>269</v>
      </c>
      <c r="C605" t="s">
        <v>46</v>
      </c>
      <c r="D605" t="s">
        <v>271</v>
      </c>
    </row>
    <row r="606" spans="1:4" x14ac:dyDescent="0.25">
      <c r="A606" t="s">
        <v>321</v>
      </c>
      <c r="B606" t="s">
        <v>269</v>
      </c>
      <c r="C606" t="s">
        <v>190</v>
      </c>
      <c r="D606" t="s">
        <v>267</v>
      </c>
    </row>
    <row r="607" spans="1:4" x14ac:dyDescent="0.25">
      <c r="A607" t="s">
        <v>321</v>
      </c>
      <c r="B607" t="s">
        <v>84</v>
      </c>
      <c r="C607" t="s">
        <v>37</v>
      </c>
      <c r="D607" t="s">
        <v>84</v>
      </c>
    </row>
    <row r="608" spans="1:4" x14ac:dyDescent="0.25">
      <c r="A608" t="s">
        <v>321</v>
      </c>
      <c r="B608" t="s">
        <v>84</v>
      </c>
      <c r="C608" t="s">
        <v>19</v>
      </c>
      <c r="D608" t="s">
        <v>272</v>
      </c>
    </row>
    <row r="609" spans="1:4" x14ac:dyDescent="0.25">
      <c r="A609" t="s">
        <v>321</v>
      </c>
      <c r="B609" t="s">
        <v>84</v>
      </c>
      <c r="C609" t="s">
        <v>42</v>
      </c>
      <c r="D609" t="s">
        <v>273</v>
      </c>
    </row>
    <row r="610" spans="1:4" x14ac:dyDescent="0.25">
      <c r="A610" t="s">
        <v>321</v>
      </c>
      <c r="B610" t="s">
        <v>84</v>
      </c>
      <c r="C610" t="s">
        <v>274</v>
      </c>
      <c r="D610" t="s">
        <v>275</v>
      </c>
    </row>
    <row r="611" spans="1:4" x14ac:dyDescent="0.25">
      <c r="A611" t="s">
        <v>321</v>
      </c>
      <c r="B611" t="s">
        <v>84</v>
      </c>
      <c r="C611" t="s">
        <v>200</v>
      </c>
      <c r="D611" t="s">
        <v>276</v>
      </c>
    </row>
    <row r="612" spans="1:4" x14ac:dyDescent="0.25">
      <c r="A612" t="s">
        <v>321</v>
      </c>
      <c r="B612" t="s">
        <v>84</v>
      </c>
      <c r="C612" t="s">
        <v>30</v>
      </c>
      <c r="D612" t="s">
        <v>277</v>
      </c>
    </row>
    <row r="613" spans="1:4" x14ac:dyDescent="0.25">
      <c r="A613" t="s">
        <v>321</v>
      </c>
      <c r="B613" t="s">
        <v>84</v>
      </c>
      <c r="C613" t="s">
        <v>278</v>
      </c>
      <c r="D613" t="s">
        <v>279</v>
      </c>
    </row>
    <row r="614" spans="1:4" x14ac:dyDescent="0.25">
      <c r="A614" t="s">
        <v>321</v>
      </c>
      <c r="B614" t="s">
        <v>84</v>
      </c>
      <c r="C614" t="s">
        <v>280</v>
      </c>
      <c r="D614" t="s">
        <v>281</v>
      </c>
    </row>
    <row r="615" spans="1:4" x14ac:dyDescent="0.25">
      <c r="A615" t="s">
        <v>321</v>
      </c>
      <c r="B615" t="s">
        <v>84</v>
      </c>
      <c r="C615" t="s">
        <v>15</v>
      </c>
      <c r="D615" t="s">
        <v>282</v>
      </c>
    </row>
    <row r="616" spans="1:4" x14ac:dyDescent="0.25">
      <c r="A616" t="s">
        <v>321</v>
      </c>
      <c r="B616" t="s">
        <v>84</v>
      </c>
      <c r="C616" t="s">
        <v>283</v>
      </c>
      <c r="D616" t="s">
        <v>284</v>
      </c>
    </row>
    <row r="617" spans="1:4" x14ac:dyDescent="0.25">
      <c r="A617" t="s">
        <v>321</v>
      </c>
      <c r="B617" t="s">
        <v>64</v>
      </c>
      <c r="C617" t="s">
        <v>6</v>
      </c>
      <c r="D617" t="s">
        <v>285</v>
      </c>
    </row>
    <row r="618" spans="1:4" x14ac:dyDescent="0.25">
      <c r="A618" t="s">
        <v>321</v>
      </c>
      <c r="B618" t="s">
        <v>64</v>
      </c>
      <c r="C618" t="s">
        <v>54</v>
      </c>
      <c r="D618" t="s">
        <v>286</v>
      </c>
    </row>
    <row r="619" spans="1:4" x14ac:dyDescent="0.25">
      <c r="A619" t="s">
        <v>321</v>
      </c>
      <c r="B619" t="s">
        <v>64</v>
      </c>
      <c r="C619" t="s">
        <v>38</v>
      </c>
      <c r="D619" t="s">
        <v>287</v>
      </c>
    </row>
    <row r="620" spans="1:4" x14ac:dyDescent="0.25">
      <c r="A620" t="s">
        <v>321</v>
      </c>
      <c r="B620" t="s">
        <v>64</v>
      </c>
      <c r="C620" t="s">
        <v>71</v>
      </c>
      <c r="D620" t="s">
        <v>288</v>
      </c>
    </row>
    <row r="621" spans="1:4" x14ac:dyDescent="0.25">
      <c r="A621" t="s">
        <v>321</v>
      </c>
      <c r="B621" t="s">
        <v>64</v>
      </c>
      <c r="C621" t="s">
        <v>58</v>
      </c>
      <c r="D621" t="s">
        <v>289</v>
      </c>
    </row>
    <row r="622" spans="1:4" x14ac:dyDescent="0.25">
      <c r="A622" t="s">
        <v>321</v>
      </c>
      <c r="B622" t="s">
        <v>64</v>
      </c>
      <c r="C622" t="s">
        <v>39</v>
      </c>
      <c r="D622" t="s">
        <v>290</v>
      </c>
    </row>
    <row r="623" spans="1:4" x14ac:dyDescent="0.25">
      <c r="A623" t="s">
        <v>321</v>
      </c>
      <c r="B623" t="s">
        <v>64</v>
      </c>
      <c r="C623" t="s">
        <v>291</v>
      </c>
      <c r="D623" t="s">
        <v>292</v>
      </c>
    </row>
    <row r="624" spans="1:4" x14ac:dyDescent="0.25">
      <c r="A624" t="s">
        <v>321</v>
      </c>
      <c r="B624" t="s">
        <v>64</v>
      </c>
      <c r="C624" t="s">
        <v>293</v>
      </c>
      <c r="D624" t="s">
        <v>294</v>
      </c>
    </row>
    <row r="625" spans="1:4" x14ac:dyDescent="0.25">
      <c r="A625" t="s">
        <v>321</v>
      </c>
      <c r="B625" t="s">
        <v>64</v>
      </c>
      <c r="C625" t="s">
        <v>295</v>
      </c>
      <c r="D625" t="s">
        <v>296</v>
      </c>
    </row>
    <row r="626" spans="1:4" x14ac:dyDescent="0.25">
      <c r="A626" t="s">
        <v>321</v>
      </c>
      <c r="B626" t="s">
        <v>64</v>
      </c>
      <c r="C626" t="s">
        <v>297</v>
      </c>
      <c r="D626" t="s">
        <v>298</v>
      </c>
    </row>
    <row r="627" spans="1:4" x14ac:dyDescent="0.25">
      <c r="A627" t="s">
        <v>321</v>
      </c>
      <c r="B627" t="s">
        <v>64</v>
      </c>
      <c r="C627" t="s">
        <v>299</v>
      </c>
      <c r="D627" t="s">
        <v>300</v>
      </c>
    </row>
    <row r="628" spans="1:4" x14ac:dyDescent="0.25">
      <c r="A628" t="s">
        <v>321</v>
      </c>
      <c r="B628" t="s">
        <v>64</v>
      </c>
      <c r="C628" t="s">
        <v>19</v>
      </c>
      <c r="D628" t="e">
        <f>[12]SELL_PROFILE!B2</f>
        <v>#REF!</v>
      </c>
    </row>
    <row r="629" spans="1:4" x14ac:dyDescent="0.25">
      <c r="A629" t="s">
        <v>321</v>
      </c>
      <c r="B629" t="s">
        <v>64</v>
      </c>
      <c r="C629" t="s">
        <v>42</v>
      </c>
      <c r="D629" t="b">
        <f>RISK_ENGINE!B2="OK"</f>
        <v>0</v>
      </c>
    </row>
    <row r="630" spans="1:4" x14ac:dyDescent="0.25">
      <c r="A630" t="s">
        <v>321</v>
      </c>
      <c r="B630" t="s">
        <v>64</v>
      </c>
      <c r="C630" t="s">
        <v>266</v>
      </c>
      <c r="D630" t="e">
        <f>IF(SELL_ALLOWED,0.3,0)</f>
        <v>#NAME?</v>
      </c>
    </row>
    <row r="631" spans="1:4" x14ac:dyDescent="0.25">
      <c r="A631" t="s">
        <v>321</v>
      </c>
      <c r="B631" t="s">
        <v>64</v>
      </c>
      <c r="C631" t="s">
        <v>304</v>
      </c>
      <c r="D631" t="e">
        <f>AND(RISK_ENGINE!B2="ALERT",[13]MARKET!B2="VOL_SPIKE")</f>
        <v>#REF!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"/>
  <sheetViews>
    <sheetView workbookViewId="0"/>
  </sheetViews>
  <sheetFormatPr defaultRowHeight="15" x14ac:dyDescent="0.25"/>
  <sheetData>
    <row r="1" spans="1:5" x14ac:dyDescent="0.25">
      <c r="A1" s="1" t="s">
        <v>322</v>
      </c>
      <c r="B1" s="1" t="s">
        <v>323</v>
      </c>
      <c r="C1" s="1" t="s">
        <v>324</v>
      </c>
      <c r="D1" s="1" t="s">
        <v>325</v>
      </c>
      <c r="E1" s="1" t="s">
        <v>326</v>
      </c>
    </row>
    <row r="2" spans="1:5" x14ac:dyDescent="0.25">
      <c r="A2" t="s">
        <v>327</v>
      </c>
      <c r="B2" t="s">
        <v>328</v>
      </c>
      <c r="C2" t="s">
        <v>329</v>
      </c>
      <c r="D2" t="s">
        <v>330</v>
      </c>
      <c r="E2" t="s">
        <v>331</v>
      </c>
    </row>
    <row r="3" spans="1:5" x14ac:dyDescent="0.25">
      <c r="A3" t="s">
        <v>332</v>
      </c>
      <c r="B3" t="s">
        <v>333</v>
      </c>
      <c r="C3" t="s">
        <v>334</v>
      </c>
      <c r="D3" t="s">
        <v>335</v>
      </c>
      <c r="E3" t="s">
        <v>336</v>
      </c>
    </row>
    <row r="4" spans="1:5" x14ac:dyDescent="0.25">
      <c r="A4" t="s">
        <v>337</v>
      </c>
      <c r="B4" t="s">
        <v>338</v>
      </c>
      <c r="C4" t="s">
        <v>339</v>
      </c>
      <c r="D4" t="s">
        <v>340</v>
      </c>
      <c r="E4" t="s">
        <v>341</v>
      </c>
    </row>
    <row r="5" spans="1:5" x14ac:dyDescent="0.25">
      <c r="A5" t="s">
        <v>342</v>
      </c>
      <c r="B5" t="s">
        <v>343</v>
      </c>
      <c r="C5" t="s">
        <v>344</v>
      </c>
      <c r="D5" t="s">
        <v>345</v>
      </c>
      <c r="E5" t="s">
        <v>346</v>
      </c>
    </row>
    <row r="6" spans="1:5" x14ac:dyDescent="0.25">
      <c r="A6" t="s">
        <v>347</v>
      </c>
      <c r="B6" t="s">
        <v>348</v>
      </c>
      <c r="C6" t="s">
        <v>349</v>
      </c>
      <c r="D6" t="s">
        <v>350</v>
      </c>
      <c r="E6" t="s">
        <v>351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"/>
  <sheetViews>
    <sheetView workbookViewId="0"/>
  </sheetViews>
  <sheetFormatPr defaultRowHeight="15" x14ac:dyDescent="0.25"/>
  <sheetData>
    <row r="1" spans="1:4" x14ac:dyDescent="0.25">
      <c r="A1" s="1" t="s">
        <v>352</v>
      </c>
      <c r="B1" s="1" t="s">
        <v>353</v>
      </c>
      <c r="C1" s="1" t="s">
        <v>354</v>
      </c>
      <c r="D1" s="1" t="s">
        <v>355</v>
      </c>
    </row>
    <row r="2" spans="1:4" x14ac:dyDescent="0.25">
      <c r="A2" t="s">
        <v>356</v>
      </c>
      <c r="B2">
        <v>0.25</v>
      </c>
      <c r="C2" t="s">
        <v>357</v>
      </c>
      <c r="D2" t="s">
        <v>358</v>
      </c>
    </row>
    <row r="3" spans="1:4" x14ac:dyDescent="0.25">
      <c r="A3" t="s">
        <v>359</v>
      </c>
      <c r="B3">
        <v>0.2</v>
      </c>
      <c r="C3" t="s">
        <v>360</v>
      </c>
      <c r="D3" t="s">
        <v>361</v>
      </c>
    </row>
    <row r="4" spans="1:4" x14ac:dyDescent="0.25">
      <c r="A4" t="s">
        <v>362</v>
      </c>
      <c r="B4">
        <v>0.15</v>
      </c>
      <c r="C4" t="s">
        <v>363</v>
      </c>
      <c r="D4" t="s">
        <v>364</v>
      </c>
    </row>
    <row r="5" spans="1:4" x14ac:dyDescent="0.25">
      <c r="A5" t="s">
        <v>365</v>
      </c>
      <c r="B5">
        <v>0.15</v>
      </c>
      <c r="C5" t="s">
        <v>366</v>
      </c>
      <c r="D5" t="s">
        <v>367</v>
      </c>
    </row>
    <row r="6" spans="1:4" x14ac:dyDescent="0.25">
      <c r="A6" t="s">
        <v>368</v>
      </c>
      <c r="B6">
        <v>0.15</v>
      </c>
      <c r="C6" t="s">
        <v>369</v>
      </c>
      <c r="D6" t="s">
        <v>370</v>
      </c>
    </row>
    <row r="7" spans="1:4" x14ac:dyDescent="0.25">
      <c r="A7" t="s">
        <v>371</v>
      </c>
      <c r="B7">
        <v>0.1</v>
      </c>
      <c r="C7" t="s">
        <v>372</v>
      </c>
      <c r="D7" t="s">
        <v>373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"/>
  <sheetViews>
    <sheetView workbookViewId="0"/>
  </sheetViews>
  <sheetFormatPr defaultRowHeight="15" x14ac:dyDescent="0.25"/>
  <sheetData>
    <row r="1" spans="1:3" x14ac:dyDescent="0.25">
      <c r="A1" s="1" t="s">
        <v>374</v>
      </c>
      <c r="B1" s="1" t="s">
        <v>375</v>
      </c>
      <c r="C1" s="1" t="s">
        <v>376</v>
      </c>
    </row>
    <row r="2" spans="1:3" x14ac:dyDescent="0.25">
      <c r="A2">
        <v>1</v>
      </c>
      <c r="B2" t="s">
        <v>377</v>
      </c>
      <c r="C2" t="s">
        <v>378</v>
      </c>
    </row>
    <row r="3" spans="1:3" x14ac:dyDescent="0.25">
      <c r="A3">
        <v>2</v>
      </c>
      <c r="B3" t="s">
        <v>379</v>
      </c>
      <c r="C3" t="s">
        <v>380</v>
      </c>
    </row>
    <row r="4" spans="1:3" x14ac:dyDescent="0.25">
      <c r="A4">
        <v>3</v>
      </c>
      <c r="B4" t="s">
        <v>381</v>
      </c>
      <c r="C4" t="s">
        <v>382</v>
      </c>
    </row>
    <row r="5" spans="1:3" x14ac:dyDescent="0.25">
      <c r="A5">
        <v>4</v>
      </c>
      <c r="B5" t="s">
        <v>383</v>
      </c>
      <c r="C5" t="s">
        <v>384</v>
      </c>
    </row>
    <row r="6" spans="1:3" x14ac:dyDescent="0.25">
      <c r="A6">
        <v>5</v>
      </c>
      <c r="B6" t="s">
        <v>385</v>
      </c>
      <c r="C6" t="s">
        <v>384</v>
      </c>
    </row>
    <row r="7" spans="1:3" x14ac:dyDescent="0.25">
      <c r="A7">
        <v>6</v>
      </c>
      <c r="B7" t="s">
        <v>386</v>
      </c>
      <c r="C7" t="s">
        <v>387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8"/>
  <sheetViews>
    <sheetView workbookViewId="0"/>
  </sheetViews>
  <sheetFormatPr defaultRowHeight="15" x14ac:dyDescent="0.25"/>
  <sheetData>
    <row r="1" spans="1:4" x14ac:dyDescent="0.25">
      <c r="A1" s="1" t="s">
        <v>388</v>
      </c>
      <c r="B1" s="1" t="s">
        <v>389</v>
      </c>
      <c r="C1" s="1" t="s">
        <v>189</v>
      </c>
      <c r="D1" s="1" t="s">
        <v>390</v>
      </c>
    </row>
    <row r="2" spans="1:4" x14ac:dyDescent="0.25">
      <c r="A2" t="s">
        <v>356</v>
      </c>
      <c r="C2">
        <v>0.25</v>
      </c>
      <c r="D2">
        <f t="shared" ref="D2:D7" si="0">B2*C2</f>
        <v>0</v>
      </c>
    </row>
    <row r="3" spans="1:4" x14ac:dyDescent="0.25">
      <c r="A3" t="s">
        <v>391</v>
      </c>
      <c r="C3">
        <v>0.2</v>
      </c>
      <c r="D3">
        <f t="shared" si="0"/>
        <v>0</v>
      </c>
    </row>
    <row r="4" spans="1:4" x14ac:dyDescent="0.25">
      <c r="A4" t="s">
        <v>392</v>
      </c>
      <c r="C4">
        <v>0.15</v>
      </c>
      <c r="D4">
        <f t="shared" si="0"/>
        <v>0</v>
      </c>
    </row>
    <row r="5" spans="1:4" x14ac:dyDescent="0.25">
      <c r="A5" t="s">
        <v>393</v>
      </c>
      <c r="C5">
        <v>0.15</v>
      </c>
      <c r="D5">
        <f t="shared" si="0"/>
        <v>0</v>
      </c>
    </row>
    <row r="6" spans="1:4" x14ac:dyDescent="0.25">
      <c r="A6" t="s">
        <v>368</v>
      </c>
      <c r="C6">
        <v>0.15</v>
      </c>
      <c r="D6">
        <f t="shared" si="0"/>
        <v>0</v>
      </c>
    </row>
    <row r="7" spans="1:4" x14ac:dyDescent="0.25">
      <c r="A7" t="s">
        <v>394</v>
      </c>
      <c r="C7">
        <v>0.1</v>
      </c>
      <c r="D7">
        <f t="shared" si="0"/>
        <v>0</v>
      </c>
    </row>
    <row r="8" spans="1:4" x14ac:dyDescent="0.25">
      <c r="A8" t="s">
        <v>395</v>
      </c>
      <c r="D8">
        <f>SUM(D2:D7)</f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"/>
  <sheetViews>
    <sheetView workbookViewId="0"/>
  </sheetViews>
  <sheetFormatPr defaultRowHeight="15" x14ac:dyDescent="0.25"/>
  <sheetData>
    <row r="1" spans="1:7" x14ac:dyDescent="0.25">
      <c r="A1" s="1" t="s">
        <v>396</v>
      </c>
      <c r="B1" s="1" t="s">
        <v>397</v>
      </c>
      <c r="C1" s="1" t="s">
        <v>398</v>
      </c>
      <c r="D1" s="1" t="s">
        <v>399</v>
      </c>
      <c r="E1" s="1" t="s">
        <v>400</v>
      </c>
      <c r="F1" s="1" t="s">
        <v>401</v>
      </c>
      <c r="G1" s="1" t="s">
        <v>402</v>
      </c>
    </row>
    <row r="2" spans="1:7" x14ac:dyDescent="0.25">
      <c r="A2">
        <v>1</v>
      </c>
      <c r="D2">
        <f>IF(B2="",0,(C2-B2)/B2)</f>
        <v>0</v>
      </c>
      <c r="F2">
        <f>D2*E2</f>
        <v>0</v>
      </c>
      <c r="G2">
        <f>IF(A2=1,10000, G1+F2)</f>
        <v>10000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"/>
  <sheetViews>
    <sheetView workbookViewId="0"/>
  </sheetViews>
  <sheetFormatPr defaultRowHeight="15" x14ac:dyDescent="0.25"/>
  <sheetData>
    <row r="1" spans="1:5" x14ac:dyDescent="0.25">
      <c r="A1" s="1" t="s">
        <v>403</v>
      </c>
      <c r="B1" s="1" t="s">
        <v>404</v>
      </c>
      <c r="C1" s="1" t="s">
        <v>405</v>
      </c>
      <c r="D1" s="1" t="s">
        <v>406</v>
      </c>
      <c r="E1" s="1" t="s">
        <v>407</v>
      </c>
    </row>
    <row r="2" spans="1:5" x14ac:dyDescent="0.25">
      <c r="A2">
        <v>1</v>
      </c>
      <c r="E2">
        <f>B2*C2*D2</f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2"/>
  <sheetViews>
    <sheetView workbookViewId="0"/>
  </sheetViews>
  <sheetFormatPr defaultRowHeight="15" x14ac:dyDescent="0.25"/>
  <sheetData>
    <row r="1" spans="1:4" x14ac:dyDescent="0.25">
      <c r="A1" s="1" t="s">
        <v>408</v>
      </c>
      <c r="B1" s="1" t="s">
        <v>409</v>
      </c>
      <c r="C1" s="1" t="s">
        <v>410</v>
      </c>
      <c r="D1" s="1" t="s">
        <v>24</v>
      </c>
    </row>
    <row r="2" spans="1:4" x14ac:dyDescent="0.25">
      <c r="C2">
        <f>IF(B2=0,0,A2/B2)</f>
        <v>0</v>
      </c>
      <c r="D2" t="str">
        <f>IF(C2&gt;1.5,"HIGH",IF(C2&lt;0.7,"LOW","NORMAL"))</f>
        <v>LOW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2"/>
  <sheetViews>
    <sheetView workbookViewId="0"/>
  </sheetViews>
  <sheetFormatPr defaultRowHeight="15" x14ac:dyDescent="0.25"/>
  <sheetData>
    <row r="1" spans="1:5" x14ac:dyDescent="0.25">
      <c r="A1" s="1" t="s">
        <v>411</v>
      </c>
      <c r="B1" s="1" t="s">
        <v>412</v>
      </c>
      <c r="C1" s="1" t="s">
        <v>413</v>
      </c>
      <c r="D1" s="1" t="s">
        <v>248</v>
      </c>
      <c r="E1" s="1" t="s">
        <v>414</v>
      </c>
    </row>
    <row r="2" spans="1:5" x14ac:dyDescent="0.25">
      <c r="C2">
        <f>IF(B2=0,0,(B2-A2)/B2)</f>
        <v>0</v>
      </c>
      <c r="E2">
        <f>IF(C2&gt;0.1,B2*0.5,B2)</f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2"/>
  <sheetViews>
    <sheetView workbookViewId="0"/>
  </sheetViews>
  <sheetFormatPr defaultRowHeight="15" x14ac:dyDescent="0.25"/>
  <sheetData>
    <row r="1" spans="1:3" x14ac:dyDescent="0.25">
      <c r="A1" s="1" t="s">
        <v>415</v>
      </c>
      <c r="B1" s="1" t="s">
        <v>416</v>
      </c>
      <c r="C1" s="1" t="s">
        <v>417</v>
      </c>
    </row>
    <row r="2" spans="1:3" x14ac:dyDescent="0.25">
      <c r="C2" t="str">
        <f>IF(A2&gt;B2,"BLOCK_NEW_TRADES","ALLOW")</f>
        <v>ALLOW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2"/>
  <sheetViews>
    <sheetView workbookViewId="0"/>
  </sheetViews>
  <sheetFormatPr defaultRowHeight="15" x14ac:dyDescent="0.25"/>
  <sheetData>
    <row r="1" spans="1:4" x14ac:dyDescent="0.25">
      <c r="A1" s="1" t="s">
        <v>388</v>
      </c>
      <c r="B1" s="1" t="s">
        <v>418</v>
      </c>
      <c r="C1" s="1" t="s">
        <v>419</v>
      </c>
      <c r="D1" s="1" t="s">
        <v>420</v>
      </c>
    </row>
    <row r="2" spans="1:4" x14ac:dyDescent="0.25">
      <c r="A2" t="s">
        <v>404</v>
      </c>
      <c r="D2">
        <f>IF(B2&lt;C2,0.9,1.05)</f>
        <v>1.05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1001"/>
  <sheetViews>
    <sheetView workbookViewId="0"/>
  </sheetViews>
  <sheetFormatPr defaultRowHeight="15" x14ac:dyDescent="0.25"/>
  <sheetData>
    <row r="1" spans="1:5" x14ac:dyDescent="0.25">
      <c r="A1" s="1" t="s">
        <v>421</v>
      </c>
      <c r="B1" s="1" t="s">
        <v>422</v>
      </c>
      <c r="C1" s="1" t="s">
        <v>399</v>
      </c>
      <c r="D1" s="1" t="s">
        <v>406</v>
      </c>
      <c r="E1" s="1" t="s">
        <v>423</v>
      </c>
    </row>
    <row r="2" spans="1:5" x14ac:dyDescent="0.25">
      <c r="A2">
        <v>1</v>
      </c>
      <c r="B2">
        <f t="shared" ref="B2:B65" ca="1" si="0">IF(RAND()&lt;0.55,1,-1)</f>
        <v>-1</v>
      </c>
      <c r="C2">
        <f t="shared" ref="C2:C65" ca="1" si="1">IF(B2=1,2,-1)</f>
        <v>-1</v>
      </c>
      <c r="D2">
        <v>0.01</v>
      </c>
      <c r="E2">
        <f t="shared" ref="E2:E65" ca="1" si="2">B2*C2*D2</f>
        <v>0.01</v>
      </c>
    </row>
    <row r="3" spans="1:5" x14ac:dyDescent="0.25">
      <c r="A3">
        <v>2</v>
      </c>
      <c r="B3">
        <f t="shared" ca="1" si="0"/>
        <v>-1</v>
      </c>
      <c r="C3">
        <f t="shared" ca="1" si="1"/>
        <v>-1</v>
      </c>
      <c r="D3">
        <v>0.01</v>
      </c>
      <c r="E3">
        <f t="shared" ca="1" si="2"/>
        <v>0.01</v>
      </c>
    </row>
    <row r="4" spans="1:5" x14ac:dyDescent="0.25">
      <c r="A4">
        <v>3</v>
      </c>
      <c r="B4">
        <f t="shared" ca="1" si="0"/>
        <v>-1</v>
      </c>
      <c r="C4">
        <f t="shared" ca="1" si="1"/>
        <v>-1</v>
      </c>
      <c r="D4">
        <v>0.01</v>
      </c>
      <c r="E4">
        <f t="shared" ca="1" si="2"/>
        <v>0.01</v>
      </c>
    </row>
    <row r="5" spans="1:5" x14ac:dyDescent="0.25">
      <c r="A5">
        <v>4</v>
      </c>
      <c r="B5">
        <f t="shared" ca="1" si="0"/>
        <v>1</v>
      </c>
      <c r="C5">
        <f t="shared" ca="1" si="1"/>
        <v>2</v>
      </c>
      <c r="D5">
        <v>0.01</v>
      </c>
      <c r="E5">
        <f t="shared" ca="1" si="2"/>
        <v>0.02</v>
      </c>
    </row>
    <row r="6" spans="1:5" x14ac:dyDescent="0.25">
      <c r="A6">
        <v>5</v>
      </c>
      <c r="B6">
        <f t="shared" ca="1" si="0"/>
        <v>-1</v>
      </c>
      <c r="C6">
        <f t="shared" ca="1" si="1"/>
        <v>-1</v>
      </c>
      <c r="D6">
        <v>0.01</v>
      </c>
      <c r="E6">
        <f t="shared" ca="1" si="2"/>
        <v>0.01</v>
      </c>
    </row>
    <row r="7" spans="1:5" x14ac:dyDescent="0.25">
      <c r="A7">
        <v>6</v>
      </c>
      <c r="B7">
        <f t="shared" ca="1" si="0"/>
        <v>-1</v>
      </c>
      <c r="C7">
        <f t="shared" ca="1" si="1"/>
        <v>-1</v>
      </c>
      <c r="D7">
        <v>0.01</v>
      </c>
      <c r="E7">
        <f t="shared" ca="1" si="2"/>
        <v>0.01</v>
      </c>
    </row>
    <row r="8" spans="1:5" x14ac:dyDescent="0.25">
      <c r="A8">
        <v>7</v>
      </c>
      <c r="B8">
        <f t="shared" ca="1" si="0"/>
        <v>1</v>
      </c>
      <c r="C8">
        <f t="shared" ca="1" si="1"/>
        <v>2</v>
      </c>
      <c r="D8">
        <v>0.01</v>
      </c>
      <c r="E8">
        <f t="shared" ca="1" si="2"/>
        <v>0.02</v>
      </c>
    </row>
    <row r="9" spans="1:5" x14ac:dyDescent="0.25">
      <c r="A9">
        <v>8</v>
      </c>
      <c r="B9">
        <f t="shared" ca="1" si="0"/>
        <v>-1</v>
      </c>
      <c r="C9">
        <f t="shared" ca="1" si="1"/>
        <v>-1</v>
      </c>
      <c r="D9">
        <v>0.01</v>
      </c>
      <c r="E9">
        <f t="shared" ca="1" si="2"/>
        <v>0.01</v>
      </c>
    </row>
    <row r="10" spans="1:5" x14ac:dyDescent="0.25">
      <c r="A10">
        <v>9</v>
      </c>
      <c r="B10">
        <f t="shared" ca="1" si="0"/>
        <v>-1</v>
      </c>
      <c r="C10">
        <f t="shared" ca="1" si="1"/>
        <v>-1</v>
      </c>
      <c r="D10">
        <v>0.01</v>
      </c>
      <c r="E10">
        <f t="shared" ca="1" si="2"/>
        <v>0.01</v>
      </c>
    </row>
    <row r="11" spans="1:5" x14ac:dyDescent="0.25">
      <c r="A11">
        <v>10</v>
      </c>
      <c r="B11">
        <f t="shared" ca="1" si="0"/>
        <v>1</v>
      </c>
      <c r="C11">
        <f t="shared" ca="1" si="1"/>
        <v>2</v>
      </c>
      <c r="D11">
        <v>0.01</v>
      </c>
      <c r="E11">
        <f t="shared" ca="1" si="2"/>
        <v>0.02</v>
      </c>
    </row>
    <row r="12" spans="1:5" x14ac:dyDescent="0.25">
      <c r="A12">
        <v>11</v>
      </c>
      <c r="B12">
        <f t="shared" ca="1" si="0"/>
        <v>1</v>
      </c>
      <c r="C12">
        <f t="shared" ca="1" si="1"/>
        <v>2</v>
      </c>
      <c r="D12">
        <v>0.01</v>
      </c>
      <c r="E12">
        <f t="shared" ca="1" si="2"/>
        <v>0.02</v>
      </c>
    </row>
    <row r="13" spans="1:5" x14ac:dyDescent="0.25">
      <c r="A13">
        <v>12</v>
      </c>
      <c r="B13">
        <f t="shared" ca="1" si="0"/>
        <v>-1</v>
      </c>
      <c r="C13">
        <f t="shared" ca="1" si="1"/>
        <v>-1</v>
      </c>
      <c r="D13">
        <v>0.01</v>
      </c>
      <c r="E13">
        <f t="shared" ca="1" si="2"/>
        <v>0.01</v>
      </c>
    </row>
    <row r="14" spans="1:5" x14ac:dyDescent="0.25">
      <c r="A14">
        <v>13</v>
      </c>
      <c r="B14">
        <f t="shared" ca="1" si="0"/>
        <v>1</v>
      </c>
      <c r="C14">
        <f t="shared" ca="1" si="1"/>
        <v>2</v>
      </c>
      <c r="D14">
        <v>0.01</v>
      </c>
      <c r="E14">
        <f t="shared" ca="1" si="2"/>
        <v>0.02</v>
      </c>
    </row>
    <row r="15" spans="1:5" x14ac:dyDescent="0.25">
      <c r="A15">
        <v>14</v>
      </c>
      <c r="B15">
        <f t="shared" ca="1" si="0"/>
        <v>1</v>
      </c>
      <c r="C15">
        <f t="shared" ca="1" si="1"/>
        <v>2</v>
      </c>
      <c r="D15">
        <v>0.01</v>
      </c>
      <c r="E15">
        <f t="shared" ca="1" si="2"/>
        <v>0.02</v>
      </c>
    </row>
    <row r="16" spans="1:5" x14ac:dyDescent="0.25">
      <c r="A16">
        <v>15</v>
      </c>
      <c r="B16">
        <f t="shared" ca="1" si="0"/>
        <v>1</v>
      </c>
      <c r="C16">
        <f t="shared" ca="1" si="1"/>
        <v>2</v>
      </c>
      <c r="D16">
        <v>0.01</v>
      </c>
      <c r="E16">
        <f t="shared" ca="1" si="2"/>
        <v>0.02</v>
      </c>
    </row>
    <row r="17" spans="1:5" x14ac:dyDescent="0.25">
      <c r="A17">
        <v>16</v>
      </c>
      <c r="B17">
        <f t="shared" ca="1" si="0"/>
        <v>-1</v>
      </c>
      <c r="C17">
        <f t="shared" ca="1" si="1"/>
        <v>-1</v>
      </c>
      <c r="D17">
        <v>0.01</v>
      </c>
      <c r="E17">
        <f t="shared" ca="1" si="2"/>
        <v>0.01</v>
      </c>
    </row>
    <row r="18" spans="1:5" x14ac:dyDescent="0.25">
      <c r="A18">
        <v>17</v>
      </c>
      <c r="B18">
        <f t="shared" ca="1" si="0"/>
        <v>-1</v>
      </c>
      <c r="C18">
        <f t="shared" ca="1" si="1"/>
        <v>-1</v>
      </c>
      <c r="D18">
        <v>0.01</v>
      </c>
      <c r="E18">
        <f t="shared" ca="1" si="2"/>
        <v>0.01</v>
      </c>
    </row>
    <row r="19" spans="1:5" x14ac:dyDescent="0.25">
      <c r="A19">
        <v>18</v>
      </c>
      <c r="B19">
        <f t="shared" ca="1" si="0"/>
        <v>1</v>
      </c>
      <c r="C19">
        <f t="shared" ca="1" si="1"/>
        <v>2</v>
      </c>
      <c r="D19">
        <v>0.01</v>
      </c>
      <c r="E19">
        <f t="shared" ca="1" si="2"/>
        <v>0.02</v>
      </c>
    </row>
    <row r="20" spans="1:5" x14ac:dyDescent="0.25">
      <c r="A20">
        <v>19</v>
      </c>
      <c r="B20">
        <f t="shared" ca="1" si="0"/>
        <v>-1</v>
      </c>
      <c r="C20">
        <f t="shared" ca="1" si="1"/>
        <v>-1</v>
      </c>
      <c r="D20">
        <v>0.01</v>
      </c>
      <c r="E20">
        <f t="shared" ca="1" si="2"/>
        <v>0.01</v>
      </c>
    </row>
    <row r="21" spans="1:5" x14ac:dyDescent="0.25">
      <c r="A21">
        <v>20</v>
      </c>
      <c r="B21">
        <f t="shared" ca="1" si="0"/>
        <v>-1</v>
      </c>
      <c r="C21">
        <f t="shared" ca="1" si="1"/>
        <v>-1</v>
      </c>
      <c r="D21">
        <v>0.01</v>
      </c>
      <c r="E21">
        <f t="shared" ca="1" si="2"/>
        <v>0.01</v>
      </c>
    </row>
    <row r="22" spans="1:5" x14ac:dyDescent="0.25">
      <c r="A22">
        <v>21</v>
      </c>
      <c r="B22">
        <f t="shared" ca="1" si="0"/>
        <v>1</v>
      </c>
      <c r="C22">
        <f t="shared" ca="1" si="1"/>
        <v>2</v>
      </c>
      <c r="D22">
        <v>0.01</v>
      </c>
      <c r="E22">
        <f t="shared" ca="1" si="2"/>
        <v>0.02</v>
      </c>
    </row>
    <row r="23" spans="1:5" x14ac:dyDescent="0.25">
      <c r="A23">
        <v>22</v>
      </c>
      <c r="B23">
        <f t="shared" ca="1" si="0"/>
        <v>1</v>
      </c>
      <c r="C23">
        <f t="shared" ca="1" si="1"/>
        <v>2</v>
      </c>
      <c r="D23">
        <v>0.01</v>
      </c>
      <c r="E23">
        <f t="shared" ca="1" si="2"/>
        <v>0.02</v>
      </c>
    </row>
    <row r="24" spans="1:5" x14ac:dyDescent="0.25">
      <c r="A24">
        <v>23</v>
      </c>
      <c r="B24">
        <f t="shared" ca="1" si="0"/>
        <v>1</v>
      </c>
      <c r="C24">
        <f t="shared" ca="1" si="1"/>
        <v>2</v>
      </c>
      <c r="D24">
        <v>0.01</v>
      </c>
      <c r="E24">
        <f t="shared" ca="1" si="2"/>
        <v>0.02</v>
      </c>
    </row>
    <row r="25" spans="1:5" x14ac:dyDescent="0.25">
      <c r="A25">
        <v>24</v>
      </c>
      <c r="B25">
        <f t="shared" ca="1" si="0"/>
        <v>-1</v>
      </c>
      <c r="C25">
        <f t="shared" ca="1" si="1"/>
        <v>-1</v>
      </c>
      <c r="D25">
        <v>0.01</v>
      </c>
      <c r="E25">
        <f t="shared" ca="1" si="2"/>
        <v>0.01</v>
      </c>
    </row>
    <row r="26" spans="1:5" x14ac:dyDescent="0.25">
      <c r="A26">
        <v>25</v>
      </c>
      <c r="B26">
        <f t="shared" ca="1" si="0"/>
        <v>-1</v>
      </c>
      <c r="C26">
        <f t="shared" ca="1" si="1"/>
        <v>-1</v>
      </c>
      <c r="D26">
        <v>0.01</v>
      </c>
      <c r="E26">
        <f t="shared" ca="1" si="2"/>
        <v>0.01</v>
      </c>
    </row>
    <row r="27" spans="1:5" x14ac:dyDescent="0.25">
      <c r="A27">
        <v>26</v>
      </c>
      <c r="B27">
        <f t="shared" ca="1" si="0"/>
        <v>1</v>
      </c>
      <c r="C27">
        <f t="shared" ca="1" si="1"/>
        <v>2</v>
      </c>
      <c r="D27">
        <v>0.01</v>
      </c>
      <c r="E27">
        <f t="shared" ca="1" si="2"/>
        <v>0.02</v>
      </c>
    </row>
    <row r="28" spans="1:5" x14ac:dyDescent="0.25">
      <c r="A28">
        <v>27</v>
      </c>
      <c r="B28">
        <f t="shared" ca="1" si="0"/>
        <v>-1</v>
      </c>
      <c r="C28">
        <f t="shared" ca="1" si="1"/>
        <v>-1</v>
      </c>
      <c r="D28">
        <v>0.01</v>
      </c>
      <c r="E28">
        <f t="shared" ca="1" si="2"/>
        <v>0.01</v>
      </c>
    </row>
    <row r="29" spans="1:5" x14ac:dyDescent="0.25">
      <c r="A29">
        <v>28</v>
      </c>
      <c r="B29">
        <f t="shared" ca="1" si="0"/>
        <v>1</v>
      </c>
      <c r="C29">
        <f t="shared" ca="1" si="1"/>
        <v>2</v>
      </c>
      <c r="D29">
        <v>0.01</v>
      </c>
      <c r="E29">
        <f t="shared" ca="1" si="2"/>
        <v>0.02</v>
      </c>
    </row>
    <row r="30" spans="1:5" x14ac:dyDescent="0.25">
      <c r="A30">
        <v>29</v>
      </c>
      <c r="B30">
        <f t="shared" ca="1" si="0"/>
        <v>-1</v>
      </c>
      <c r="C30">
        <f t="shared" ca="1" si="1"/>
        <v>-1</v>
      </c>
      <c r="D30">
        <v>0.01</v>
      </c>
      <c r="E30">
        <f t="shared" ca="1" si="2"/>
        <v>0.01</v>
      </c>
    </row>
    <row r="31" spans="1:5" x14ac:dyDescent="0.25">
      <c r="A31">
        <v>30</v>
      </c>
      <c r="B31">
        <f t="shared" ca="1" si="0"/>
        <v>1</v>
      </c>
      <c r="C31">
        <f t="shared" ca="1" si="1"/>
        <v>2</v>
      </c>
      <c r="D31">
        <v>0.01</v>
      </c>
      <c r="E31">
        <f t="shared" ca="1" si="2"/>
        <v>0.02</v>
      </c>
    </row>
    <row r="32" spans="1:5" x14ac:dyDescent="0.25">
      <c r="A32">
        <v>31</v>
      </c>
      <c r="B32">
        <f t="shared" ca="1" si="0"/>
        <v>1</v>
      </c>
      <c r="C32">
        <f t="shared" ca="1" si="1"/>
        <v>2</v>
      </c>
      <c r="D32">
        <v>0.01</v>
      </c>
      <c r="E32">
        <f t="shared" ca="1" si="2"/>
        <v>0.02</v>
      </c>
    </row>
    <row r="33" spans="1:5" x14ac:dyDescent="0.25">
      <c r="A33">
        <v>32</v>
      </c>
      <c r="B33">
        <f t="shared" ca="1" si="0"/>
        <v>1</v>
      </c>
      <c r="C33">
        <f t="shared" ca="1" si="1"/>
        <v>2</v>
      </c>
      <c r="D33">
        <v>0.01</v>
      </c>
      <c r="E33">
        <f t="shared" ca="1" si="2"/>
        <v>0.02</v>
      </c>
    </row>
    <row r="34" spans="1:5" x14ac:dyDescent="0.25">
      <c r="A34">
        <v>33</v>
      </c>
      <c r="B34">
        <f t="shared" ca="1" si="0"/>
        <v>1</v>
      </c>
      <c r="C34">
        <f t="shared" ca="1" si="1"/>
        <v>2</v>
      </c>
      <c r="D34">
        <v>0.01</v>
      </c>
      <c r="E34">
        <f t="shared" ca="1" si="2"/>
        <v>0.02</v>
      </c>
    </row>
    <row r="35" spans="1:5" x14ac:dyDescent="0.25">
      <c r="A35">
        <v>34</v>
      </c>
      <c r="B35">
        <f t="shared" ca="1" si="0"/>
        <v>-1</v>
      </c>
      <c r="C35">
        <f t="shared" ca="1" si="1"/>
        <v>-1</v>
      </c>
      <c r="D35">
        <v>0.01</v>
      </c>
      <c r="E35">
        <f t="shared" ca="1" si="2"/>
        <v>0.01</v>
      </c>
    </row>
    <row r="36" spans="1:5" x14ac:dyDescent="0.25">
      <c r="A36">
        <v>35</v>
      </c>
      <c r="B36">
        <f t="shared" ca="1" si="0"/>
        <v>1</v>
      </c>
      <c r="C36">
        <f t="shared" ca="1" si="1"/>
        <v>2</v>
      </c>
      <c r="D36">
        <v>0.01</v>
      </c>
      <c r="E36">
        <f t="shared" ca="1" si="2"/>
        <v>0.02</v>
      </c>
    </row>
    <row r="37" spans="1:5" x14ac:dyDescent="0.25">
      <c r="A37">
        <v>36</v>
      </c>
      <c r="B37">
        <f t="shared" ca="1" si="0"/>
        <v>1</v>
      </c>
      <c r="C37">
        <f t="shared" ca="1" si="1"/>
        <v>2</v>
      </c>
      <c r="D37">
        <v>0.01</v>
      </c>
      <c r="E37">
        <f t="shared" ca="1" si="2"/>
        <v>0.02</v>
      </c>
    </row>
    <row r="38" spans="1:5" x14ac:dyDescent="0.25">
      <c r="A38">
        <v>37</v>
      </c>
      <c r="B38">
        <f t="shared" ca="1" si="0"/>
        <v>-1</v>
      </c>
      <c r="C38">
        <f t="shared" ca="1" si="1"/>
        <v>-1</v>
      </c>
      <c r="D38">
        <v>0.01</v>
      </c>
      <c r="E38">
        <f t="shared" ca="1" si="2"/>
        <v>0.01</v>
      </c>
    </row>
    <row r="39" spans="1:5" x14ac:dyDescent="0.25">
      <c r="A39">
        <v>38</v>
      </c>
      <c r="B39">
        <f t="shared" ca="1" si="0"/>
        <v>1</v>
      </c>
      <c r="C39">
        <f t="shared" ca="1" si="1"/>
        <v>2</v>
      </c>
      <c r="D39">
        <v>0.01</v>
      </c>
      <c r="E39">
        <f t="shared" ca="1" si="2"/>
        <v>0.02</v>
      </c>
    </row>
    <row r="40" spans="1:5" x14ac:dyDescent="0.25">
      <c r="A40">
        <v>39</v>
      </c>
      <c r="B40">
        <f t="shared" ca="1" si="0"/>
        <v>-1</v>
      </c>
      <c r="C40">
        <f t="shared" ca="1" si="1"/>
        <v>-1</v>
      </c>
      <c r="D40">
        <v>0.01</v>
      </c>
      <c r="E40">
        <f t="shared" ca="1" si="2"/>
        <v>0.01</v>
      </c>
    </row>
    <row r="41" spans="1:5" x14ac:dyDescent="0.25">
      <c r="A41">
        <v>40</v>
      </c>
      <c r="B41">
        <f t="shared" ca="1" si="0"/>
        <v>-1</v>
      </c>
      <c r="C41">
        <f t="shared" ca="1" si="1"/>
        <v>-1</v>
      </c>
      <c r="D41">
        <v>0.01</v>
      </c>
      <c r="E41">
        <f t="shared" ca="1" si="2"/>
        <v>0.01</v>
      </c>
    </row>
    <row r="42" spans="1:5" x14ac:dyDescent="0.25">
      <c r="A42">
        <v>41</v>
      </c>
      <c r="B42">
        <f t="shared" ca="1" si="0"/>
        <v>-1</v>
      </c>
      <c r="C42">
        <f t="shared" ca="1" si="1"/>
        <v>-1</v>
      </c>
      <c r="D42">
        <v>0.01</v>
      </c>
      <c r="E42">
        <f t="shared" ca="1" si="2"/>
        <v>0.01</v>
      </c>
    </row>
    <row r="43" spans="1:5" x14ac:dyDescent="0.25">
      <c r="A43">
        <v>42</v>
      </c>
      <c r="B43">
        <f t="shared" ca="1" si="0"/>
        <v>1</v>
      </c>
      <c r="C43">
        <f t="shared" ca="1" si="1"/>
        <v>2</v>
      </c>
      <c r="D43">
        <v>0.01</v>
      </c>
      <c r="E43">
        <f t="shared" ca="1" si="2"/>
        <v>0.02</v>
      </c>
    </row>
    <row r="44" spans="1:5" x14ac:dyDescent="0.25">
      <c r="A44">
        <v>43</v>
      </c>
      <c r="B44">
        <f t="shared" ca="1" si="0"/>
        <v>1</v>
      </c>
      <c r="C44">
        <f t="shared" ca="1" si="1"/>
        <v>2</v>
      </c>
      <c r="D44">
        <v>0.01</v>
      </c>
      <c r="E44">
        <f t="shared" ca="1" si="2"/>
        <v>0.02</v>
      </c>
    </row>
    <row r="45" spans="1:5" x14ac:dyDescent="0.25">
      <c r="A45">
        <v>44</v>
      </c>
      <c r="B45">
        <f t="shared" ca="1" si="0"/>
        <v>-1</v>
      </c>
      <c r="C45">
        <f t="shared" ca="1" si="1"/>
        <v>-1</v>
      </c>
      <c r="D45">
        <v>0.01</v>
      </c>
      <c r="E45">
        <f t="shared" ca="1" si="2"/>
        <v>0.01</v>
      </c>
    </row>
    <row r="46" spans="1:5" x14ac:dyDescent="0.25">
      <c r="A46">
        <v>45</v>
      </c>
      <c r="B46">
        <f t="shared" ca="1" si="0"/>
        <v>1</v>
      </c>
      <c r="C46">
        <f t="shared" ca="1" si="1"/>
        <v>2</v>
      </c>
      <c r="D46">
        <v>0.01</v>
      </c>
      <c r="E46">
        <f t="shared" ca="1" si="2"/>
        <v>0.02</v>
      </c>
    </row>
    <row r="47" spans="1:5" x14ac:dyDescent="0.25">
      <c r="A47">
        <v>46</v>
      </c>
      <c r="B47">
        <f t="shared" ca="1" si="0"/>
        <v>1</v>
      </c>
      <c r="C47">
        <f t="shared" ca="1" si="1"/>
        <v>2</v>
      </c>
      <c r="D47">
        <v>0.01</v>
      </c>
      <c r="E47">
        <f t="shared" ca="1" si="2"/>
        <v>0.02</v>
      </c>
    </row>
    <row r="48" spans="1:5" x14ac:dyDescent="0.25">
      <c r="A48">
        <v>47</v>
      </c>
      <c r="B48">
        <f t="shared" ca="1" si="0"/>
        <v>-1</v>
      </c>
      <c r="C48">
        <f t="shared" ca="1" si="1"/>
        <v>-1</v>
      </c>
      <c r="D48">
        <v>0.01</v>
      </c>
      <c r="E48">
        <f t="shared" ca="1" si="2"/>
        <v>0.01</v>
      </c>
    </row>
    <row r="49" spans="1:5" x14ac:dyDescent="0.25">
      <c r="A49">
        <v>48</v>
      </c>
      <c r="B49">
        <f t="shared" ca="1" si="0"/>
        <v>-1</v>
      </c>
      <c r="C49">
        <f t="shared" ca="1" si="1"/>
        <v>-1</v>
      </c>
      <c r="D49">
        <v>0.01</v>
      </c>
      <c r="E49">
        <f t="shared" ca="1" si="2"/>
        <v>0.01</v>
      </c>
    </row>
    <row r="50" spans="1:5" x14ac:dyDescent="0.25">
      <c r="A50">
        <v>49</v>
      </c>
      <c r="B50">
        <f t="shared" ca="1" si="0"/>
        <v>-1</v>
      </c>
      <c r="C50">
        <f t="shared" ca="1" si="1"/>
        <v>-1</v>
      </c>
      <c r="D50">
        <v>0.01</v>
      </c>
      <c r="E50">
        <f t="shared" ca="1" si="2"/>
        <v>0.01</v>
      </c>
    </row>
    <row r="51" spans="1:5" x14ac:dyDescent="0.25">
      <c r="A51">
        <v>50</v>
      </c>
      <c r="B51">
        <f t="shared" ca="1" si="0"/>
        <v>1</v>
      </c>
      <c r="C51">
        <f t="shared" ca="1" si="1"/>
        <v>2</v>
      </c>
      <c r="D51">
        <v>0.01</v>
      </c>
      <c r="E51">
        <f t="shared" ca="1" si="2"/>
        <v>0.02</v>
      </c>
    </row>
    <row r="52" spans="1:5" x14ac:dyDescent="0.25">
      <c r="A52">
        <v>51</v>
      </c>
      <c r="B52">
        <f t="shared" ca="1" si="0"/>
        <v>1</v>
      </c>
      <c r="C52">
        <f t="shared" ca="1" si="1"/>
        <v>2</v>
      </c>
      <c r="D52">
        <v>0.01</v>
      </c>
      <c r="E52">
        <f t="shared" ca="1" si="2"/>
        <v>0.02</v>
      </c>
    </row>
    <row r="53" spans="1:5" x14ac:dyDescent="0.25">
      <c r="A53">
        <v>52</v>
      </c>
      <c r="B53">
        <f t="shared" ca="1" si="0"/>
        <v>-1</v>
      </c>
      <c r="C53">
        <f t="shared" ca="1" si="1"/>
        <v>-1</v>
      </c>
      <c r="D53">
        <v>0.01</v>
      </c>
      <c r="E53">
        <f t="shared" ca="1" si="2"/>
        <v>0.01</v>
      </c>
    </row>
    <row r="54" spans="1:5" x14ac:dyDescent="0.25">
      <c r="A54">
        <v>53</v>
      </c>
      <c r="B54">
        <f t="shared" ca="1" si="0"/>
        <v>1</v>
      </c>
      <c r="C54">
        <f t="shared" ca="1" si="1"/>
        <v>2</v>
      </c>
      <c r="D54">
        <v>0.01</v>
      </c>
      <c r="E54">
        <f t="shared" ca="1" si="2"/>
        <v>0.02</v>
      </c>
    </row>
    <row r="55" spans="1:5" x14ac:dyDescent="0.25">
      <c r="A55">
        <v>54</v>
      </c>
      <c r="B55">
        <f t="shared" ca="1" si="0"/>
        <v>-1</v>
      </c>
      <c r="C55">
        <f t="shared" ca="1" si="1"/>
        <v>-1</v>
      </c>
      <c r="D55">
        <v>0.01</v>
      </c>
      <c r="E55">
        <f t="shared" ca="1" si="2"/>
        <v>0.01</v>
      </c>
    </row>
    <row r="56" spans="1:5" x14ac:dyDescent="0.25">
      <c r="A56">
        <v>55</v>
      </c>
      <c r="B56">
        <f t="shared" ca="1" si="0"/>
        <v>-1</v>
      </c>
      <c r="C56">
        <f t="shared" ca="1" si="1"/>
        <v>-1</v>
      </c>
      <c r="D56">
        <v>0.01</v>
      </c>
      <c r="E56">
        <f t="shared" ca="1" si="2"/>
        <v>0.01</v>
      </c>
    </row>
    <row r="57" spans="1:5" x14ac:dyDescent="0.25">
      <c r="A57">
        <v>56</v>
      </c>
      <c r="B57">
        <f t="shared" ca="1" si="0"/>
        <v>-1</v>
      </c>
      <c r="C57">
        <f t="shared" ca="1" si="1"/>
        <v>-1</v>
      </c>
      <c r="D57">
        <v>0.01</v>
      </c>
      <c r="E57">
        <f t="shared" ca="1" si="2"/>
        <v>0.01</v>
      </c>
    </row>
    <row r="58" spans="1:5" x14ac:dyDescent="0.25">
      <c r="A58">
        <v>57</v>
      </c>
      <c r="B58">
        <f t="shared" ca="1" si="0"/>
        <v>-1</v>
      </c>
      <c r="C58">
        <f t="shared" ca="1" si="1"/>
        <v>-1</v>
      </c>
      <c r="D58">
        <v>0.01</v>
      </c>
      <c r="E58">
        <f t="shared" ca="1" si="2"/>
        <v>0.01</v>
      </c>
    </row>
    <row r="59" spans="1:5" x14ac:dyDescent="0.25">
      <c r="A59">
        <v>58</v>
      </c>
      <c r="B59">
        <f t="shared" ca="1" si="0"/>
        <v>1</v>
      </c>
      <c r="C59">
        <f t="shared" ca="1" si="1"/>
        <v>2</v>
      </c>
      <c r="D59">
        <v>0.01</v>
      </c>
      <c r="E59">
        <f t="shared" ca="1" si="2"/>
        <v>0.02</v>
      </c>
    </row>
    <row r="60" spans="1:5" x14ac:dyDescent="0.25">
      <c r="A60">
        <v>59</v>
      </c>
      <c r="B60">
        <f t="shared" ca="1" si="0"/>
        <v>1</v>
      </c>
      <c r="C60">
        <f t="shared" ca="1" si="1"/>
        <v>2</v>
      </c>
      <c r="D60">
        <v>0.01</v>
      </c>
      <c r="E60">
        <f t="shared" ca="1" si="2"/>
        <v>0.02</v>
      </c>
    </row>
    <row r="61" spans="1:5" x14ac:dyDescent="0.25">
      <c r="A61">
        <v>60</v>
      </c>
      <c r="B61">
        <f t="shared" ca="1" si="0"/>
        <v>-1</v>
      </c>
      <c r="C61">
        <f t="shared" ca="1" si="1"/>
        <v>-1</v>
      </c>
      <c r="D61">
        <v>0.01</v>
      </c>
      <c r="E61">
        <f t="shared" ca="1" si="2"/>
        <v>0.01</v>
      </c>
    </row>
    <row r="62" spans="1:5" x14ac:dyDescent="0.25">
      <c r="A62">
        <v>61</v>
      </c>
      <c r="B62">
        <f t="shared" ca="1" si="0"/>
        <v>-1</v>
      </c>
      <c r="C62">
        <f t="shared" ca="1" si="1"/>
        <v>-1</v>
      </c>
      <c r="D62">
        <v>0.01</v>
      </c>
      <c r="E62">
        <f t="shared" ca="1" si="2"/>
        <v>0.01</v>
      </c>
    </row>
    <row r="63" spans="1:5" x14ac:dyDescent="0.25">
      <c r="A63">
        <v>62</v>
      </c>
      <c r="B63">
        <f t="shared" ca="1" si="0"/>
        <v>1</v>
      </c>
      <c r="C63">
        <f t="shared" ca="1" si="1"/>
        <v>2</v>
      </c>
      <c r="D63">
        <v>0.01</v>
      </c>
      <c r="E63">
        <f t="shared" ca="1" si="2"/>
        <v>0.02</v>
      </c>
    </row>
    <row r="64" spans="1:5" x14ac:dyDescent="0.25">
      <c r="A64">
        <v>63</v>
      </c>
      <c r="B64">
        <f t="shared" ca="1" si="0"/>
        <v>1</v>
      </c>
      <c r="C64">
        <f t="shared" ca="1" si="1"/>
        <v>2</v>
      </c>
      <c r="D64">
        <v>0.01</v>
      </c>
      <c r="E64">
        <f t="shared" ca="1" si="2"/>
        <v>0.02</v>
      </c>
    </row>
    <row r="65" spans="1:5" x14ac:dyDescent="0.25">
      <c r="A65">
        <v>64</v>
      </c>
      <c r="B65">
        <f t="shared" ca="1" si="0"/>
        <v>1</v>
      </c>
      <c r="C65">
        <f t="shared" ca="1" si="1"/>
        <v>2</v>
      </c>
      <c r="D65">
        <v>0.01</v>
      </c>
      <c r="E65">
        <f t="shared" ca="1" si="2"/>
        <v>0.02</v>
      </c>
    </row>
    <row r="66" spans="1:5" x14ac:dyDescent="0.25">
      <c r="A66">
        <v>65</v>
      </c>
      <c r="B66">
        <f t="shared" ref="B66:B129" ca="1" si="3">IF(RAND()&lt;0.55,1,-1)</f>
        <v>-1</v>
      </c>
      <c r="C66">
        <f t="shared" ref="C66:C129" ca="1" si="4">IF(B66=1,2,-1)</f>
        <v>-1</v>
      </c>
      <c r="D66">
        <v>0.01</v>
      </c>
      <c r="E66">
        <f t="shared" ref="E66:E129" ca="1" si="5">B66*C66*D66</f>
        <v>0.01</v>
      </c>
    </row>
    <row r="67" spans="1:5" x14ac:dyDescent="0.25">
      <c r="A67">
        <v>66</v>
      </c>
      <c r="B67">
        <f t="shared" ca="1" si="3"/>
        <v>1</v>
      </c>
      <c r="C67">
        <f t="shared" ca="1" si="4"/>
        <v>2</v>
      </c>
      <c r="D67">
        <v>0.01</v>
      </c>
      <c r="E67">
        <f t="shared" ca="1" si="5"/>
        <v>0.02</v>
      </c>
    </row>
    <row r="68" spans="1:5" x14ac:dyDescent="0.25">
      <c r="A68">
        <v>67</v>
      </c>
      <c r="B68">
        <f t="shared" ca="1" si="3"/>
        <v>-1</v>
      </c>
      <c r="C68">
        <f t="shared" ca="1" si="4"/>
        <v>-1</v>
      </c>
      <c r="D68">
        <v>0.01</v>
      </c>
      <c r="E68">
        <f t="shared" ca="1" si="5"/>
        <v>0.01</v>
      </c>
    </row>
    <row r="69" spans="1:5" x14ac:dyDescent="0.25">
      <c r="A69">
        <v>68</v>
      </c>
      <c r="B69">
        <f t="shared" ca="1" si="3"/>
        <v>1</v>
      </c>
      <c r="C69">
        <f t="shared" ca="1" si="4"/>
        <v>2</v>
      </c>
      <c r="D69">
        <v>0.01</v>
      </c>
      <c r="E69">
        <f t="shared" ca="1" si="5"/>
        <v>0.02</v>
      </c>
    </row>
    <row r="70" spans="1:5" x14ac:dyDescent="0.25">
      <c r="A70">
        <v>69</v>
      </c>
      <c r="B70">
        <f t="shared" ca="1" si="3"/>
        <v>1</v>
      </c>
      <c r="C70">
        <f t="shared" ca="1" si="4"/>
        <v>2</v>
      </c>
      <c r="D70">
        <v>0.01</v>
      </c>
      <c r="E70">
        <f t="shared" ca="1" si="5"/>
        <v>0.02</v>
      </c>
    </row>
    <row r="71" spans="1:5" x14ac:dyDescent="0.25">
      <c r="A71">
        <v>70</v>
      </c>
      <c r="B71">
        <f t="shared" ca="1" si="3"/>
        <v>1</v>
      </c>
      <c r="C71">
        <f t="shared" ca="1" si="4"/>
        <v>2</v>
      </c>
      <c r="D71">
        <v>0.01</v>
      </c>
      <c r="E71">
        <f t="shared" ca="1" si="5"/>
        <v>0.02</v>
      </c>
    </row>
    <row r="72" spans="1:5" x14ac:dyDescent="0.25">
      <c r="A72">
        <v>71</v>
      </c>
      <c r="B72">
        <f t="shared" ca="1" si="3"/>
        <v>-1</v>
      </c>
      <c r="C72">
        <f t="shared" ca="1" si="4"/>
        <v>-1</v>
      </c>
      <c r="D72">
        <v>0.01</v>
      </c>
      <c r="E72">
        <f t="shared" ca="1" si="5"/>
        <v>0.01</v>
      </c>
    </row>
    <row r="73" spans="1:5" x14ac:dyDescent="0.25">
      <c r="A73">
        <v>72</v>
      </c>
      <c r="B73">
        <f t="shared" ca="1" si="3"/>
        <v>-1</v>
      </c>
      <c r="C73">
        <f t="shared" ca="1" si="4"/>
        <v>-1</v>
      </c>
      <c r="D73">
        <v>0.01</v>
      </c>
      <c r="E73">
        <f t="shared" ca="1" si="5"/>
        <v>0.01</v>
      </c>
    </row>
    <row r="74" spans="1:5" x14ac:dyDescent="0.25">
      <c r="A74">
        <v>73</v>
      </c>
      <c r="B74">
        <f t="shared" ca="1" si="3"/>
        <v>-1</v>
      </c>
      <c r="C74">
        <f t="shared" ca="1" si="4"/>
        <v>-1</v>
      </c>
      <c r="D74">
        <v>0.01</v>
      </c>
      <c r="E74">
        <f t="shared" ca="1" si="5"/>
        <v>0.01</v>
      </c>
    </row>
    <row r="75" spans="1:5" x14ac:dyDescent="0.25">
      <c r="A75">
        <v>74</v>
      </c>
      <c r="B75">
        <f t="shared" ca="1" si="3"/>
        <v>-1</v>
      </c>
      <c r="C75">
        <f t="shared" ca="1" si="4"/>
        <v>-1</v>
      </c>
      <c r="D75">
        <v>0.01</v>
      </c>
      <c r="E75">
        <f t="shared" ca="1" si="5"/>
        <v>0.01</v>
      </c>
    </row>
    <row r="76" spans="1:5" x14ac:dyDescent="0.25">
      <c r="A76">
        <v>75</v>
      </c>
      <c r="B76">
        <f t="shared" ca="1" si="3"/>
        <v>1</v>
      </c>
      <c r="C76">
        <f t="shared" ca="1" si="4"/>
        <v>2</v>
      </c>
      <c r="D76">
        <v>0.01</v>
      </c>
      <c r="E76">
        <f t="shared" ca="1" si="5"/>
        <v>0.02</v>
      </c>
    </row>
    <row r="77" spans="1:5" x14ac:dyDescent="0.25">
      <c r="A77">
        <v>76</v>
      </c>
      <c r="B77">
        <f t="shared" ca="1" si="3"/>
        <v>-1</v>
      </c>
      <c r="C77">
        <f t="shared" ca="1" si="4"/>
        <v>-1</v>
      </c>
      <c r="D77">
        <v>0.01</v>
      </c>
      <c r="E77">
        <f t="shared" ca="1" si="5"/>
        <v>0.01</v>
      </c>
    </row>
    <row r="78" spans="1:5" x14ac:dyDescent="0.25">
      <c r="A78">
        <v>77</v>
      </c>
      <c r="B78">
        <f t="shared" ca="1" si="3"/>
        <v>1</v>
      </c>
      <c r="C78">
        <f t="shared" ca="1" si="4"/>
        <v>2</v>
      </c>
      <c r="D78">
        <v>0.01</v>
      </c>
      <c r="E78">
        <f t="shared" ca="1" si="5"/>
        <v>0.02</v>
      </c>
    </row>
    <row r="79" spans="1:5" x14ac:dyDescent="0.25">
      <c r="A79">
        <v>78</v>
      </c>
      <c r="B79">
        <f t="shared" ca="1" si="3"/>
        <v>-1</v>
      </c>
      <c r="C79">
        <f t="shared" ca="1" si="4"/>
        <v>-1</v>
      </c>
      <c r="D79">
        <v>0.01</v>
      </c>
      <c r="E79">
        <f t="shared" ca="1" si="5"/>
        <v>0.01</v>
      </c>
    </row>
    <row r="80" spans="1:5" x14ac:dyDescent="0.25">
      <c r="A80">
        <v>79</v>
      </c>
      <c r="B80">
        <f t="shared" ca="1" si="3"/>
        <v>-1</v>
      </c>
      <c r="C80">
        <f t="shared" ca="1" si="4"/>
        <v>-1</v>
      </c>
      <c r="D80">
        <v>0.01</v>
      </c>
      <c r="E80">
        <f t="shared" ca="1" si="5"/>
        <v>0.01</v>
      </c>
    </row>
    <row r="81" spans="1:5" x14ac:dyDescent="0.25">
      <c r="A81">
        <v>80</v>
      </c>
      <c r="B81">
        <f t="shared" ca="1" si="3"/>
        <v>1</v>
      </c>
      <c r="C81">
        <f t="shared" ca="1" si="4"/>
        <v>2</v>
      </c>
      <c r="D81">
        <v>0.01</v>
      </c>
      <c r="E81">
        <f t="shared" ca="1" si="5"/>
        <v>0.02</v>
      </c>
    </row>
    <row r="82" spans="1:5" x14ac:dyDescent="0.25">
      <c r="A82">
        <v>81</v>
      </c>
      <c r="B82">
        <f t="shared" ca="1" si="3"/>
        <v>-1</v>
      </c>
      <c r="C82">
        <f t="shared" ca="1" si="4"/>
        <v>-1</v>
      </c>
      <c r="D82">
        <v>0.01</v>
      </c>
      <c r="E82">
        <f t="shared" ca="1" si="5"/>
        <v>0.01</v>
      </c>
    </row>
    <row r="83" spans="1:5" x14ac:dyDescent="0.25">
      <c r="A83">
        <v>82</v>
      </c>
      <c r="B83">
        <f t="shared" ca="1" si="3"/>
        <v>-1</v>
      </c>
      <c r="C83">
        <f t="shared" ca="1" si="4"/>
        <v>-1</v>
      </c>
      <c r="D83">
        <v>0.01</v>
      </c>
      <c r="E83">
        <f t="shared" ca="1" si="5"/>
        <v>0.01</v>
      </c>
    </row>
    <row r="84" spans="1:5" x14ac:dyDescent="0.25">
      <c r="A84">
        <v>83</v>
      </c>
      <c r="B84">
        <f t="shared" ca="1" si="3"/>
        <v>1</v>
      </c>
      <c r="C84">
        <f t="shared" ca="1" si="4"/>
        <v>2</v>
      </c>
      <c r="D84">
        <v>0.01</v>
      </c>
      <c r="E84">
        <f t="shared" ca="1" si="5"/>
        <v>0.02</v>
      </c>
    </row>
    <row r="85" spans="1:5" x14ac:dyDescent="0.25">
      <c r="A85">
        <v>84</v>
      </c>
      <c r="B85">
        <f t="shared" ca="1" si="3"/>
        <v>-1</v>
      </c>
      <c r="C85">
        <f t="shared" ca="1" si="4"/>
        <v>-1</v>
      </c>
      <c r="D85">
        <v>0.01</v>
      </c>
      <c r="E85">
        <f t="shared" ca="1" si="5"/>
        <v>0.01</v>
      </c>
    </row>
    <row r="86" spans="1:5" x14ac:dyDescent="0.25">
      <c r="A86">
        <v>85</v>
      </c>
      <c r="B86">
        <f t="shared" ca="1" si="3"/>
        <v>-1</v>
      </c>
      <c r="C86">
        <f t="shared" ca="1" si="4"/>
        <v>-1</v>
      </c>
      <c r="D86">
        <v>0.01</v>
      </c>
      <c r="E86">
        <f t="shared" ca="1" si="5"/>
        <v>0.01</v>
      </c>
    </row>
    <row r="87" spans="1:5" x14ac:dyDescent="0.25">
      <c r="A87">
        <v>86</v>
      </c>
      <c r="B87">
        <f t="shared" ca="1" si="3"/>
        <v>1</v>
      </c>
      <c r="C87">
        <f t="shared" ca="1" si="4"/>
        <v>2</v>
      </c>
      <c r="D87">
        <v>0.01</v>
      </c>
      <c r="E87">
        <f t="shared" ca="1" si="5"/>
        <v>0.02</v>
      </c>
    </row>
    <row r="88" spans="1:5" x14ac:dyDescent="0.25">
      <c r="A88">
        <v>87</v>
      </c>
      <c r="B88">
        <f t="shared" ca="1" si="3"/>
        <v>-1</v>
      </c>
      <c r="C88">
        <f t="shared" ca="1" si="4"/>
        <v>-1</v>
      </c>
      <c r="D88">
        <v>0.01</v>
      </c>
      <c r="E88">
        <f t="shared" ca="1" si="5"/>
        <v>0.01</v>
      </c>
    </row>
    <row r="89" spans="1:5" x14ac:dyDescent="0.25">
      <c r="A89">
        <v>88</v>
      </c>
      <c r="B89">
        <f t="shared" ca="1" si="3"/>
        <v>-1</v>
      </c>
      <c r="C89">
        <f t="shared" ca="1" si="4"/>
        <v>-1</v>
      </c>
      <c r="D89">
        <v>0.01</v>
      </c>
      <c r="E89">
        <f t="shared" ca="1" si="5"/>
        <v>0.01</v>
      </c>
    </row>
    <row r="90" spans="1:5" x14ac:dyDescent="0.25">
      <c r="A90">
        <v>89</v>
      </c>
      <c r="B90">
        <f t="shared" ca="1" si="3"/>
        <v>1</v>
      </c>
      <c r="C90">
        <f t="shared" ca="1" si="4"/>
        <v>2</v>
      </c>
      <c r="D90">
        <v>0.01</v>
      </c>
      <c r="E90">
        <f t="shared" ca="1" si="5"/>
        <v>0.02</v>
      </c>
    </row>
    <row r="91" spans="1:5" x14ac:dyDescent="0.25">
      <c r="A91">
        <v>90</v>
      </c>
      <c r="B91">
        <f t="shared" ca="1" si="3"/>
        <v>-1</v>
      </c>
      <c r="C91">
        <f t="shared" ca="1" si="4"/>
        <v>-1</v>
      </c>
      <c r="D91">
        <v>0.01</v>
      </c>
      <c r="E91">
        <f t="shared" ca="1" si="5"/>
        <v>0.01</v>
      </c>
    </row>
    <row r="92" spans="1:5" x14ac:dyDescent="0.25">
      <c r="A92">
        <v>91</v>
      </c>
      <c r="B92">
        <f t="shared" ca="1" si="3"/>
        <v>1</v>
      </c>
      <c r="C92">
        <f t="shared" ca="1" si="4"/>
        <v>2</v>
      </c>
      <c r="D92">
        <v>0.01</v>
      </c>
      <c r="E92">
        <f t="shared" ca="1" si="5"/>
        <v>0.02</v>
      </c>
    </row>
    <row r="93" spans="1:5" x14ac:dyDescent="0.25">
      <c r="A93">
        <v>92</v>
      </c>
      <c r="B93">
        <f t="shared" ca="1" si="3"/>
        <v>1</v>
      </c>
      <c r="C93">
        <f t="shared" ca="1" si="4"/>
        <v>2</v>
      </c>
      <c r="D93">
        <v>0.01</v>
      </c>
      <c r="E93">
        <f t="shared" ca="1" si="5"/>
        <v>0.02</v>
      </c>
    </row>
    <row r="94" spans="1:5" x14ac:dyDescent="0.25">
      <c r="A94">
        <v>93</v>
      </c>
      <c r="B94">
        <f t="shared" ca="1" si="3"/>
        <v>-1</v>
      </c>
      <c r="C94">
        <f t="shared" ca="1" si="4"/>
        <v>-1</v>
      </c>
      <c r="D94">
        <v>0.01</v>
      </c>
      <c r="E94">
        <f t="shared" ca="1" si="5"/>
        <v>0.01</v>
      </c>
    </row>
    <row r="95" spans="1:5" x14ac:dyDescent="0.25">
      <c r="A95">
        <v>94</v>
      </c>
      <c r="B95">
        <f t="shared" ca="1" si="3"/>
        <v>-1</v>
      </c>
      <c r="C95">
        <f t="shared" ca="1" si="4"/>
        <v>-1</v>
      </c>
      <c r="D95">
        <v>0.01</v>
      </c>
      <c r="E95">
        <f t="shared" ca="1" si="5"/>
        <v>0.01</v>
      </c>
    </row>
    <row r="96" spans="1:5" x14ac:dyDescent="0.25">
      <c r="A96">
        <v>95</v>
      </c>
      <c r="B96">
        <f t="shared" ca="1" si="3"/>
        <v>1</v>
      </c>
      <c r="C96">
        <f t="shared" ca="1" si="4"/>
        <v>2</v>
      </c>
      <c r="D96">
        <v>0.01</v>
      </c>
      <c r="E96">
        <f t="shared" ca="1" si="5"/>
        <v>0.02</v>
      </c>
    </row>
    <row r="97" spans="1:5" x14ac:dyDescent="0.25">
      <c r="A97">
        <v>96</v>
      </c>
      <c r="B97">
        <f t="shared" ca="1" si="3"/>
        <v>-1</v>
      </c>
      <c r="C97">
        <f t="shared" ca="1" si="4"/>
        <v>-1</v>
      </c>
      <c r="D97">
        <v>0.01</v>
      </c>
      <c r="E97">
        <f t="shared" ca="1" si="5"/>
        <v>0.01</v>
      </c>
    </row>
    <row r="98" spans="1:5" x14ac:dyDescent="0.25">
      <c r="A98">
        <v>97</v>
      </c>
      <c r="B98">
        <f t="shared" ca="1" si="3"/>
        <v>1</v>
      </c>
      <c r="C98">
        <f t="shared" ca="1" si="4"/>
        <v>2</v>
      </c>
      <c r="D98">
        <v>0.01</v>
      </c>
      <c r="E98">
        <f t="shared" ca="1" si="5"/>
        <v>0.02</v>
      </c>
    </row>
    <row r="99" spans="1:5" x14ac:dyDescent="0.25">
      <c r="A99">
        <v>98</v>
      </c>
      <c r="B99">
        <f t="shared" ca="1" si="3"/>
        <v>-1</v>
      </c>
      <c r="C99">
        <f t="shared" ca="1" si="4"/>
        <v>-1</v>
      </c>
      <c r="D99">
        <v>0.01</v>
      </c>
      <c r="E99">
        <f t="shared" ca="1" si="5"/>
        <v>0.01</v>
      </c>
    </row>
    <row r="100" spans="1:5" x14ac:dyDescent="0.25">
      <c r="A100">
        <v>99</v>
      </c>
      <c r="B100">
        <f t="shared" ca="1" si="3"/>
        <v>-1</v>
      </c>
      <c r="C100">
        <f t="shared" ca="1" si="4"/>
        <v>-1</v>
      </c>
      <c r="D100">
        <v>0.01</v>
      </c>
      <c r="E100">
        <f t="shared" ca="1" si="5"/>
        <v>0.01</v>
      </c>
    </row>
    <row r="101" spans="1:5" x14ac:dyDescent="0.25">
      <c r="A101">
        <v>100</v>
      </c>
      <c r="B101">
        <f t="shared" ca="1" si="3"/>
        <v>1</v>
      </c>
      <c r="C101">
        <f t="shared" ca="1" si="4"/>
        <v>2</v>
      </c>
      <c r="D101">
        <v>0.01</v>
      </c>
      <c r="E101">
        <f t="shared" ca="1" si="5"/>
        <v>0.02</v>
      </c>
    </row>
    <row r="102" spans="1:5" x14ac:dyDescent="0.25">
      <c r="A102">
        <v>101</v>
      </c>
      <c r="B102">
        <f t="shared" ca="1" si="3"/>
        <v>1</v>
      </c>
      <c r="C102">
        <f t="shared" ca="1" si="4"/>
        <v>2</v>
      </c>
      <c r="D102">
        <v>0.01</v>
      </c>
      <c r="E102">
        <f t="shared" ca="1" si="5"/>
        <v>0.02</v>
      </c>
    </row>
    <row r="103" spans="1:5" x14ac:dyDescent="0.25">
      <c r="A103">
        <v>102</v>
      </c>
      <c r="B103">
        <f t="shared" ca="1" si="3"/>
        <v>-1</v>
      </c>
      <c r="C103">
        <f t="shared" ca="1" si="4"/>
        <v>-1</v>
      </c>
      <c r="D103">
        <v>0.01</v>
      </c>
      <c r="E103">
        <f t="shared" ca="1" si="5"/>
        <v>0.01</v>
      </c>
    </row>
    <row r="104" spans="1:5" x14ac:dyDescent="0.25">
      <c r="A104">
        <v>103</v>
      </c>
      <c r="B104">
        <f t="shared" ca="1" si="3"/>
        <v>1</v>
      </c>
      <c r="C104">
        <f t="shared" ca="1" si="4"/>
        <v>2</v>
      </c>
      <c r="D104">
        <v>0.01</v>
      </c>
      <c r="E104">
        <f t="shared" ca="1" si="5"/>
        <v>0.02</v>
      </c>
    </row>
    <row r="105" spans="1:5" x14ac:dyDescent="0.25">
      <c r="A105">
        <v>104</v>
      </c>
      <c r="B105">
        <f t="shared" ca="1" si="3"/>
        <v>-1</v>
      </c>
      <c r="C105">
        <f t="shared" ca="1" si="4"/>
        <v>-1</v>
      </c>
      <c r="D105">
        <v>0.01</v>
      </c>
      <c r="E105">
        <f t="shared" ca="1" si="5"/>
        <v>0.01</v>
      </c>
    </row>
    <row r="106" spans="1:5" x14ac:dyDescent="0.25">
      <c r="A106">
        <v>105</v>
      </c>
      <c r="B106">
        <f t="shared" ca="1" si="3"/>
        <v>-1</v>
      </c>
      <c r="C106">
        <f t="shared" ca="1" si="4"/>
        <v>-1</v>
      </c>
      <c r="D106">
        <v>0.01</v>
      </c>
      <c r="E106">
        <f t="shared" ca="1" si="5"/>
        <v>0.01</v>
      </c>
    </row>
    <row r="107" spans="1:5" x14ac:dyDescent="0.25">
      <c r="A107">
        <v>106</v>
      </c>
      <c r="B107">
        <f t="shared" ca="1" si="3"/>
        <v>1</v>
      </c>
      <c r="C107">
        <f t="shared" ca="1" si="4"/>
        <v>2</v>
      </c>
      <c r="D107">
        <v>0.01</v>
      </c>
      <c r="E107">
        <f t="shared" ca="1" si="5"/>
        <v>0.02</v>
      </c>
    </row>
    <row r="108" spans="1:5" x14ac:dyDescent="0.25">
      <c r="A108">
        <v>107</v>
      </c>
      <c r="B108">
        <f t="shared" ca="1" si="3"/>
        <v>-1</v>
      </c>
      <c r="C108">
        <f t="shared" ca="1" si="4"/>
        <v>-1</v>
      </c>
      <c r="D108">
        <v>0.01</v>
      </c>
      <c r="E108">
        <f t="shared" ca="1" si="5"/>
        <v>0.01</v>
      </c>
    </row>
    <row r="109" spans="1:5" x14ac:dyDescent="0.25">
      <c r="A109">
        <v>108</v>
      </c>
      <c r="B109">
        <f t="shared" ca="1" si="3"/>
        <v>-1</v>
      </c>
      <c r="C109">
        <f t="shared" ca="1" si="4"/>
        <v>-1</v>
      </c>
      <c r="D109">
        <v>0.01</v>
      </c>
      <c r="E109">
        <f t="shared" ca="1" si="5"/>
        <v>0.01</v>
      </c>
    </row>
    <row r="110" spans="1:5" x14ac:dyDescent="0.25">
      <c r="A110">
        <v>109</v>
      </c>
      <c r="B110">
        <f t="shared" ca="1" si="3"/>
        <v>1</v>
      </c>
      <c r="C110">
        <f t="shared" ca="1" si="4"/>
        <v>2</v>
      </c>
      <c r="D110">
        <v>0.01</v>
      </c>
      <c r="E110">
        <f t="shared" ca="1" si="5"/>
        <v>0.02</v>
      </c>
    </row>
    <row r="111" spans="1:5" x14ac:dyDescent="0.25">
      <c r="A111">
        <v>110</v>
      </c>
      <c r="B111">
        <f t="shared" ca="1" si="3"/>
        <v>-1</v>
      </c>
      <c r="C111">
        <f t="shared" ca="1" si="4"/>
        <v>-1</v>
      </c>
      <c r="D111">
        <v>0.01</v>
      </c>
      <c r="E111">
        <f t="shared" ca="1" si="5"/>
        <v>0.01</v>
      </c>
    </row>
    <row r="112" spans="1:5" x14ac:dyDescent="0.25">
      <c r="A112">
        <v>111</v>
      </c>
      <c r="B112">
        <f t="shared" ca="1" si="3"/>
        <v>-1</v>
      </c>
      <c r="C112">
        <f t="shared" ca="1" si="4"/>
        <v>-1</v>
      </c>
      <c r="D112">
        <v>0.01</v>
      </c>
      <c r="E112">
        <f t="shared" ca="1" si="5"/>
        <v>0.01</v>
      </c>
    </row>
    <row r="113" spans="1:5" x14ac:dyDescent="0.25">
      <c r="A113">
        <v>112</v>
      </c>
      <c r="B113">
        <f t="shared" ca="1" si="3"/>
        <v>1</v>
      </c>
      <c r="C113">
        <f t="shared" ca="1" si="4"/>
        <v>2</v>
      </c>
      <c r="D113">
        <v>0.01</v>
      </c>
      <c r="E113">
        <f t="shared" ca="1" si="5"/>
        <v>0.02</v>
      </c>
    </row>
    <row r="114" spans="1:5" x14ac:dyDescent="0.25">
      <c r="A114">
        <v>113</v>
      </c>
      <c r="B114">
        <f t="shared" ca="1" si="3"/>
        <v>1</v>
      </c>
      <c r="C114">
        <f t="shared" ca="1" si="4"/>
        <v>2</v>
      </c>
      <c r="D114">
        <v>0.01</v>
      </c>
      <c r="E114">
        <f t="shared" ca="1" si="5"/>
        <v>0.02</v>
      </c>
    </row>
    <row r="115" spans="1:5" x14ac:dyDescent="0.25">
      <c r="A115">
        <v>114</v>
      </c>
      <c r="B115">
        <f t="shared" ca="1" si="3"/>
        <v>1</v>
      </c>
      <c r="C115">
        <f t="shared" ca="1" si="4"/>
        <v>2</v>
      </c>
      <c r="D115">
        <v>0.01</v>
      </c>
      <c r="E115">
        <f t="shared" ca="1" si="5"/>
        <v>0.02</v>
      </c>
    </row>
    <row r="116" spans="1:5" x14ac:dyDescent="0.25">
      <c r="A116">
        <v>115</v>
      </c>
      <c r="B116">
        <f t="shared" ca="1" si="3"/>
        <v>-1</v>
      </c>
      <c r="C116">
        <f t="shared" ca="1" si="4"/>
        <v>-1</v>
      </c>
      <c r="D116">
        <v>0.01</v>
      </c>
      <c r="E116">
        <f t="shared" ca="1" si="5"/>
        <v>0.01</v>
      </c>
    </row>
    <row r="117" spans="1:5" x14ac:dyDescent="0.25">
      <c r="A117">
        <v>116</v>
      </c>
      <c r="B117">
        <f t="shared" ca="1" si="3"/>
        <v>-1</v>
      </c>
      <c r="C117">
        <f t="shared" ca="1" si="4"/>
        <v>-1</v>
      </c>
      <c r="D117">
        <v>0.01</v>
      </c>
      <c r="E117">
        <f t="shared" ca="1" si="5"/>
        <v>0.01</v>
      </c>
    </row>
    <row r="118" spans="1:5" x14ac:dyDescent="0.25">
      <c r="A118">
        <v>117</v>
      </c>
      <c r="B118">
        <f t="shared" ca="1" si="3"/>
        <v>1</v>
      </c>
      <c r="C118">
        <f t="shared" ca="1" si="4"/>
        <v>2</v>
      </c>
      <c r="D118">
        <v>0.01</v>
      </c>
      <c r="E118">
        <f t="shared" ca="1" si="5"/>
        <v>0.02</v>
      </c>
    </row>
    <row r="119" spans="1:5" x14ac:dyDescent="0.25">
      <c r="A119">
        <v>118</v>
      </c>
      <c r="B119">
        <f t="shared" ca="1" si="3"/>
        <v>-1</v>
      </c>
      <c r="C119">
        <f t="shared" ca="1" si="4"/>
        <v>-1</v>
      </c>
      <c r="D119">
        <v>0.01</v>
      </c>
      <c r="E119">
        <f t="shared" ca="1" si="5"/>
        <v>0.01</v>
      </c>
    </row>
    <row r="120" spans="1:5" x14ac:dyDescent="0.25">
      <c r="A120">
        <v>119</v>
      </c>
      <c r="B120">
        <f t="shared" ca="1" si="3"/>
        <v>-1</v>
      </c>
      <c r="C120">
        <f t="shared" ca="1" si="4"/>
        <v>-1</v>
      </c>
      <c r="D120">
        <v>0.01</v>
      </c>
      <c r="E120">
        <f t="shared" ca="1" si="5"/>
        <v>0.01</v>
      </c>
    </row>
    <row r="121" spans="1:5" x14ac:dyDescent="0.25">
      <c r="A121">
        <v>120</v>
      </c>
      <c r="B121">
        <f t="shared" ca="1" si="3"/>
        <v>1</v>
      </c>
      <c r="C121">
        <f t="shared" ca="1" si="4"/>
        <v>2</v>
      </c>
      <c r="D121">
        <v>0.01</v>
      </c>
      <c r="E121">
        <f t="shared" ca="1" si="5"/>
        <v>0.02</v>
      </c>
    </row>
    <row r="122" spans="1:5" x14ac:dyDescent="0.25">
      <c r="A122">
        <v>121</v>
      </c>
      <c r="B122">
        <f t="shared" ca="1" si="3"/>
        <v>-1</v>
      </c>
      <c r="C122">
        <f t="shared" ca="1" si="4"/>
        <v>-1</v>
      </c>
      <c r="D122">
        <v>0.01</v>
      </c>
      <c r="E122">
        <f t="shared" ca="1" si="5"/>
        <v>0.01</v>
      </c>
    </row>
    <row r="123" spans="1:5" x14ac:dyDescent="0.25">
      <c r="A123">
        <v>122</v>
      </c>
      <c r="B123">
        <f t="shared" ca="1" si="3"/>
        <v>1</v>
      </c>
      <c r="C123">
        <f t="shared" ca="1" si="4"/>
        <v>2</v>
      </c>
      <c r="D123">
        <v>0.01</v>
      </c>
      <c r="E123">
        <f t="shared" ca="1" si="5"/>
        <v>0.02</v>
      </c>
    </row>
    <row r="124" spans="1:5" x14ac:dyDescent="0.25">
      <c r="A124">
        <v>123</v>
      </c>
      <c r="B124">
        <f t="shared" ca="1" si="3"/>
        <v>1</v>
      </c>
      <c r="C124">
        <f t="shared" ca="1" si="4"/>
        <v>2</v>
      </c>
      <c r="D124">
        <v>0.01</v>
      </c>
      <c r="E124">
        <f t="shared" ca="1" si="5"/>
        <v>0.02</v>
      </c>
    </row>
    <row r="125" spans="1:5" x14ac:dyDescent="0.25">
      <c r="A125">
        <v>124</v>
      </c>
      <c r="B125">
        <f t="shared" ca="1" si="3"/>
        <v>1</v>
      </c>
      <c r="C125">
        <f t="shared" ca="1" si="4"/>
        <v>2</v>
      </c>
      <c r="D125">
        <v>0.01</v>
      </c>
      <c r="E125">
        <f t="shared" ca="1" si="5"/>
        <v>0.02</v>
      </c>
    </row>
    <row r="126" spans="1:5" x14ac:dyDescent="0.25">
      <c r="A126">
        <v>125</v>
      </c>
      <c r="B126">
        <f t="shared" ca="1" si="3"/>
        <v>1</v>
      </c>
      <c r="C126">
        <f t="shared" ca="1" si="4"/>
        <v>2</v>
      </c>
      <c r="D126">
        <v>0.01</v>
      </c>
      <c r="E126">
        <f t="shared" ca="1" si="5"/>
        <v>0.02</v>
      </c>
    </row>
    <row r="127" spans="1:5" x14ac:dyDescent="0.25">
      <c r="A127">
        <v>126</v>
      </c>
      <c r="B127">
        <f t="shared" ca="1" si="3"/>
        <v>-1</v>
      </c>
      <c r="C127">
        <f t="shared" ca="1" si="4"/>
        <v>-1</v>
      </c>
      <c r="D127">
        <v>0.01</v>
      </c>
      <c r="E127">
        <f t="shared" ca="1" si="5"/>
        <v>0.01</v>
      </c>
    </row>
    <row r="128" spans="1:5" x14ac:dyDescent="0.25">
      <c r="A128">
        <v>127</v>
      </c>
      <c r="B128">
        <f t="shared" ca="1" si="3"/>
        <v>1</v>
      </c>
      <c r="C128">
        <f t="shared" ca="1" si="4"/>
        <v>2</v>
      </c>
      <c r="D128">
        <v>0.01</v>
      </c>
      <c r="E128">
        <f t="shared" ca="1" si="5"/>
        <v>0.02</v>
      </c>
    </row>
    <row r="129" spans="1:5" x14ac:dyDescent="0.25">
      <c r="A129">
        <v>128</v>
      </c>
      <c r="B129">
        <f t="shared" ca="1" si="3"/>
        <v>-1</v>
      </c>
      <c r="C129">
        <f t="shared" ca="1" si="4"/>
        <v>-1</v>
      </c>
      <c r="D129">
        <v>0.01</v>
      </c>
      <c r="E129">
        <f t="shared" ca="1" si="5"/>
        <v>0.01</v>
      </c>
    </row>
    <row r="130" spans="1:5" x14ac:dyDescent="0.25">
      <c r="A130">
        <v>129</v>
      </c>
      <c r="B130">
        <f t="shared" ref="B130:B193" ca="1" si="6">IF(RAND()&lt;0.55,1,-1)</f>
        <v>-1</v>
      </c>
      <c r="C130">
        <f t="shared" ref="C130:C193" ca="1" si="7">IF(B130=1,2,-1)</f>
        <v>-1</v>
      </c>
      <c r="D130">
        <v>0.01</v>
      </c>
      <c r="E130">
        <f t="shared" ref="E130:E193" ca="1" si="8">B130*C130*D130</f>
        <v>0.01</v>
      </c>
    </row>
    <row r="131" spans="1:5" x14ac:dyDescent="0.25">
      <c r="A131">
        <v>130</v>
      </c>
      <c r="B131">
        <f t="shared" ca="1" si="6"/>
        <v>-1</v>
      </c>
      <c r="C131">
        <f t="shared" ca="1" si="7"/>
        <v>-1</v>
      </c>
      <c r="D131">
        <v>0.01</v>
      </c>
      <c r="E131">
        <f t="shared" ca="1" si="8"/>
        <v>0.01</v>
      </c>
    </row>
    <row r="132" spans="1:5" x14ac:dyDescent="0.25">
      <c r="A132">
        <v>131</v>
      </c>
      <c r="B132">
        <f t="shared" ca="1" si="6"/>
        <v>-1</v>
      </c>
      <c r="C132">
        <f t="shared" ca="1" si="7"/>
        <v>-1</v>
      </c>
      <c r="D132">
        <v>0.01</v>
      </c>
      <c r="E132">
        <f t="shared" ca="1" si="8"/>
        <v>0.01</v>
      </c>
    </row>
    <row r="133" spans="1:5" x14ac:dyDescent="0.25">
      <c r="A133">
        <v>132</v>
      </c>
      <c r="B133">
        <f t="shared" ca="1" si="6"/>
        <v>1</v>
      </c>
      <c r="C133">
        <f t="shared" ca="1" si="7"/>
        <v>2</v>
      </c>
      <c r="D133">
        <v>0.01</v>
      </c>
      <c r="E133">
        <f t="shared" ca="1" si="8"/>
        <v>0.02</v>
      </c>
    </row>
    <row r="134" spans="1:5" x14ac:dyDescent="0.25">
      <c r="A134">
        <v>133</v>
      </c>
      <c r="B134">
        <f t="shared" ca="1" si="6"/>
        <v>1</v>
      </c>
      <c r="C134">
        <f t="shared" ca="1" si="7"/>
        <v>2</v>
      </c>
      <c r="D134">
        <v>0.01</v>
      </c>
      <c r="E134">
        <f t="shared" ca="1" si="8"/>
        <v>0.02</v>
      </c>
    </row>
    <row r="135" spans="1:5" x14ac:dyDescent="0.25">
      <c r="A135">
        <v>134</v>
      </c>
      <c r="B135">
        <f t="shared" ca="1" si="6"/>
        <v>1</v>
      </c>
      <c r="C135">
        <f t="shared" ca="1" si="7"/>
        <v>2</v>
      </c>
      <c r="D135">
        <v>0.01</v>
      </c>
      <c r="E135">
        <f t="shared" ca="1" si="8"/>
        <v>0.02</v>
      </c>
    </row>
    <row r="136" spans="1:5" x14ac:dyDescent="0.25">
      <c r="A136">
        <v>135</v>
      </c>
      <c r="B136">
        <f t="shared" ca="1" si="6"/>
        <v>-1</v>
      </c>
      <c r="C136">
        <f t="shared" ca="1" si="7"/>
        <v>-1</v>
      </c>
      <c r="D136">
        <v>0.01</v>
      </c>
      <c r="E136">
        <f t="shared" ca="1" si="8"/>
        <v>0.01</v>
      </c>
    </row>
    <row r="137" spans="1:5" x14ac:dyDescent="0.25">
      <c r="A137">
        <v>136</v>
      </c>
      <c r="B137">
        <f t="shared" ca="1" si="6"/>
        <v>1</v>
      </c>
      <c r="C137">
        <f t="shared" ca="1" si="7"/>
        <v>2</v>
      </c>
      <c r="D137">
        <v>0.01</v>
      </c>
      <c r="E137">
        <f t="shared" ca="1" si="8"/>
        <v>0.02</v>
      </c>
    </row>
    <row r="138" spans="1:5" x14ac:dyDescent="0.25">
      <c r="A138">
        <v>137</v>
      </c>
      <c r="B138">
        <f t="shared" ca="1" si="6"/>
        <v>1</v>
      </c>
      <c r="C138">
        <f t="shared" ca="1" si="7"/>
        <v>2</v>
      </c>
      <c r="D138">
        <v>0.01</v>
      </c>
      <c r="E138">
        <f t="shared" ca="1" si="8"/>
        <v>0.02</v>
      </c>
    </row>
    <row r="139" spans="1:5" x14ac:dyDescent="0.25">
      <c r="A139">
        <v>138</v>
      </c>
      <c r="B139">
        <f t="shared" ca="1" si="6"/>
        <v>-1</v>
      </c>
      <c r="C139">
        <f t="shared" ca="1" si="7"/>
        <v>-1</v>
      </c>
      <c r="D139">
        <v>0.01</v>
      </c>
      <c r="E139">
        <f t="shared" ca="1" si="8"/>
        <v>0.01</v>
      </c>
    </row>
    <row r="140" spans="1:5" x14ac:dyDescent="0.25">
      <c r="A140">
        <v>139</v>
      </c>
      <c r="B140">
        <f t="shared" ca="1" si="6"/>
        <v>1</v>
      </c>
      <c r="C140">
        <f t="shared" ca="1" si="7"/>
        <v>2</v>
      </c>
      <c r="D140">
        <v>0.01</v>
      </c>
      <c r="E140">
        <f t="shared" ca="1" si="8"/>
        <v>0.02</v>
      </c>
    </row>
    <row r="141" spans="1:5" x14ac:dyDescent="0.25">
      <c r="A141">
        <v>140</v>
      </c>
      <c r="B141">
        <f t="shared" ca="1" si="6"/>
        <v>-1</v>
      </c>
      <c r="C141">
        <f t="shared" ca="1" si="7"/>
        <v>-1</v>
      </c>
      <c r="D141">
        <v>0.01</v>
      </c>
      <c r="E141">
        <f t="shared" ca="1" si="8"/>
        <v>0.01</v>
      </c>
    </row>
    <row r="142" spans="1:5" x14ac:dyDescent="0.25">
      <c r="A142">
        <v>141</v>
      </c>
      <c r="B142">
        <f t="shared" ca="1" si="6"/>
        <v>-1</v>
      </c>
      <c r="C142">
        <f t="shared" ca="1" si="7"/>
        <v>-1</v>
      </c>
      <c r="D142">
        <v>0.01</v>
      </c>
      <c r="E142">
        <f t="shared" ca="1" si="8"/>
        <v>0.01</v>
      </c>
    </row>
    <row r="143" spans="1:5" x14ac:dyDescent="0.25">
      <c r="A143">
        <v>142</v>
      </c>
      <c r="B143">
        <f t="shared" ca="1" si="6"/>
        <v>1</v>
      </c>
      <c r="C143">
        <f t="shared" ca="1" si="7"/>
        <v>2</v>
      </c>
      <c r="D143">
        <v>0.01</v>
      </c>
      <c r="E143">
        <f t="shared" ca="1" si="8"/>
        <v>0.02</v>
      </c>
    </row>
    <row r="144" spans="1:5" x14ac:dyDescent="0.25">
      <c r="A144">
        <v>143</v>
      </c>
      <c r="B144">
        <f t="shared" ca="1" si="6"/>
        <v>1</v>
      </c>
      <c r="C144">
        <f t="shared" ca="1" si="7"/>
        <v>2</v>
      </c>
      <c r="D144">
        <v>0.01</v>
      </c>
      <c r="E144">
        <f t="shared" ca="1" si="8"/>
        <v>0.02</v>
      </c>
    </row>
    <row r="145" spans="1:5" x14ac:dyDescent="0.25">
      <c r="A145">
        <v>144</v>
      </c>
      <c r="B145">
        <f t="shared" ca="1" si="6"/>
        <v>-1</v>
      </c>
      <c r="C145">
        <f t="shared" ca="1" si="7"/>
        <v>-1</v>
      </c>
      <c r="D145">
        <v>0.01</v>
      </c>
      <c r="E145">
        <f t="shared" ca="1" si="8"/>
        <v>0.01</v>
      </c>
    </row>
    <row r="146" spans="1:5" x14ac:dyDescent="0.25">
      <c r="A146">
        <v>145</v>
      </c>
      <c r="B146">
        <f t="shared" ca="1" si="6"/>
        <v>-1</v>
      </c>
      <c r="C146">
        <f t="shared" ca="1" si="7"/>
        <v>-1</v>
      </c>
      <c r="D146">
        <v>0.01</v>
      </c>
      <c r="E146">
        <f t="shared" ca="1" si="8"/>
        <v>0.01</v>
      </c>
    </row>
    <row r="147" spans="1:5" x14ac:dyDescent="0.25">
      <c r="A147">
        <v>146</v>
      </c>
      <c r="B147">
        <f t="shared" ca="1" si="6"/>
        <v>-1</v>
      </c>
      <c r="C147">
        <f t="shared" ca="1" si="7"/>
        <v>-1</v>
      </c>
      <c r="D147">
        <v>0.01</v>
      </c>
      <c r="E147">
        <f t="shared" ca="1" si="8"/>
        <v>0.01</v>
      </c>
    </row>
    <row r="148" spans="1:5" x14ac:dyDescent="0.25">
      <c r="A148">
        <v>147</v>
      </c>
      <c r="B148">
        <f t="shared" ca="1" si="6"/>
        <v>-1</v>
      </c>
      <c r="C148">
        <f t="shared" ca="1" si="7"/>
        <v>-1</v>
      </c>
      <c r="D148">
        <v>0.01</v>
      </c>
      <c r="E148">
        <f t="shared" ca="1" si="8"/>
        <v>0.01</v>
      </c>
    </row>
    <row r="149" spans="1:5" x14ac:dyDescent="0.25">
      <c r="A149">
        <v>148</v>
      </c>
      <c r="B149">
        <f t="shared" ca="1" si="6"/>
        <v>-1</v>
      </c>
      <c r="C149">
        <f t="shared" ca="1" si="7"/>
        <v>-1</v>
      </c>
      <c r="D149">
        <v>0.01</v>
      </c>
      <c r="E149">
        <f t="shared" ca="1" si="8"/>
        <v>0.01</v>
      </c>
    </row>
    <row r="150" spans="1:5" x14ac:dyDescent="0.25">
      <c r="A150">
        <v>149</v>
      </c>
      <c r="B150">
        <f t="shared" ca="1" si="6"/>
        <v>-1</v>
      </c>
      <c r="C150">
        <f t="shared" ca="1" si="7"/>
        <v>-1</v>
      </c>
      <c r="D150">
        <v>0.01</v>
      </c>
      <c r="E150">
        <f t="shared" ca="1" si="8"/>
        <v>0.01</v>
      </c>
    </row>
    <row r="151" spans="1:5" x14ac:dyDescent="0.25">
      <c r="A151">
        <v>150</v>
      </c>
      <c r="B151">
        <f t="shared" ca="1" si="6"/>
        <v>-1</v>
      </c>
      <c r="C151">
        <f t="shared" ca="1" si="7"/>
        <v>-1</v>
      </c>
      <c r="D151">
        <v>0.01</v>
      </c>
      <c r="E151">
        <f t="shared" ca="1" si="8"/>
        <v>0.01</v>
      </c>
    </row>
    <row r="152" spans="1:5" x14ac:dyDescent="0.25">
      <c r="A152">
        <v>151</v>
      </c>
      <c r="B152">
        <f t="shared" ca="1" si="6"/>
        <v>1</v>
      </c>
      <c r="C152">
        <f t="shared" ca="1" si="7"/>
        <v>2</v>
      </c>
      <c r="D152">
        <v>0.01</v>
      </c>
      <c r="E152">
        <f t="shared" ca="1" si="8"/>
        <v>0.02</v>
      </c>
    </row>
    <row r="153" spans="1:5" x14ac:dyDescent="0.25">
      <c r="A153">
        <v>152</v>
      </c>
      <c r="B153">
        <f t="shared" ca="1" si="6"/>
        <v>-1</v>
      </c>
      <c r="C153">
        <f t="shared" ca="1" si="7"/>
        <v>-1</v>
      </c>
      <c r="D153">
        <v>0.01</v>
      </c>
      <c r="E153">
        <f t="shared" ca="1" si="8"/>
        <v>0.01</v>
      </c>
    </row>
    <row r="154" spans="1:5" x14ac:dyDescent="0.25">
      <c r="A154">
        <v>153</v>
      </c>
      <c r="B154">
        <f t="shared" ca="1" si="6"/>
        <v>1</v>
      </c>
      <c r="C154">
        <f t="shared" ca="1" si="7"/>
        <v>2</v>
      </c>
      <c r="D154">
        <v>0.01</v>
      </c>
      <c r="E154">
        <f t="shared" ca="1" si="8"/>
        <v>0.02</v>
      </c>
    </row>
    <row r="155" spans="1:5" x14ac:dyDescent="0.25">
      <c r="A155">
        <v>154</v>
      </c>
      <c r="B155">
        <f t="shared" ca="1" si="6"/>
        <v>-1</v>
      </c>
      <c r="C155">
        <f t="shared" ca="1" si="7"/>
        <v>-1</v>
      </c>
      <c r="D155">
        <v>0.01</v>
      </c>
      <c r="E155">
        <f t="shared" ca="1" si="8"/>
        <v>0.01</v>
      </c>
    </row>
    <row r="156" spans="1:5" x14ac:dyDescent="0.25">
      <c r="A156">
        <v>155</v>
      </c>
      <c r="B156">
        <f t="shared" ca="1" si="6"/>
        <v>1</v>
      </c>
      <c r="C156">
        <f t="shared" ca="1" si="7"/>
        <v>2</v>
      </c>
      <c r="D156">
        <v>0.01</v>
      </c>
      <c r="E156">
        <f t="shared" ca="1" si="8"/>
        <v>0.02</v>
      </c>
    </row>
    <row r="157" spans="1:5" x14ac:dyDescent="0.25">
      <c r="A157">
        <v>156</v>
      </c>
      <c r="B157">
        <f t="shared" ca="1" si="6"/>
        <v>-1</v>
      </c>
      <c r="C157">
        <f t="shared" ca="1" si="7"/>
        <v>-1</v>
      </c>
      <c r="D157">
        <v>0.01</v>
      </c>
      <c r="E157">
        <f t="shared" ca="1" si="8"/>
        <v>0.01</v>
      </c>
    </row>
    <row r="158" spans="1:5" x14ac:dyDescent="0.25">
      <c r="A158">
        <v>157</v>
      </c>
      <c r="B158">
        <f t="shared" ca="1" si="6"/>
        <v>1</v>
      </c>
      <c r="C158">
        <f t="shared" ca="1" si="7"/>
        <v>2</v>
      </c>
      <c r="D158">
        <v>0.01</v>
      </c>
      <c r="E158">
        <f t="shared" ca="1" si="8"/>
        <v>0.02</v>
      </c>
    </row>
    <row r="159" spans="1:5" x14ac:dyDescent="0.25">
      <c r="A159">
        <v>158</v>
      </c>
      <c r="B159">
        <f t="shared" ca="1" si="6"/>
        <v>1</v>
      </c>
      <c r="C159">
        <f t="shared" ca="1" si="7"/>
        <v>2</v>
      </c>
      <c r="D159">
        <v>0.01</v>
      </c>
      <c r="E159">
        <f t="shared" ca="1" si="8"/>
        <v>0.02</v>
      </c>
    </row>
    <row r="160" spans="1:5" x14ac:dyDescent="0.25">
      <c r="A160">
        <v>159</v>
      </c>
      <c r="B160">
        <f t="shared" ca="1" si="6"/>
        <v>1</v>
      </c>
      <c r="C160">
        <f t="shared" ca="1" si="7"/>
        <v>2</v>
      </c>
      <c r="D160">
        <v>0.01</v>
      </c>
      <c r="E160">
        <f t="shared" ca="1" si="8"/>
        <v>0.02</v>
      </c>
    </row>
    <row r="161" spans="1:5" x14ac:dyDescent="0.25">
      <c r="A161">
        <v>160</v>
      </c>
      <c r="B161">
        <f t="shared" ca="1" si="6"/>
        <v>1</v>
      </c>
      <c r="C161">
        <f t="shared" ca="1" si="7"/>
        <v>2</v>
      </c>
      <c r="D161">
        <v>0.01</v>
      </c>
      <c r="E161">
        <f t="shared" ca="1" si="8"/>
        <v>0.02</v>
      </c>
    </row>
    <row r="162" spans="1:5" x14ac:dyDescent="0.25">
      <c r="A162">
        <v>161</v>
      </c>
      <c r="B162">
        <f t="shared" ca="1" si="6"/>
        <v>1</v>
      </c>
      <c r="C162">
        <f t="shared" ca="1" si="7"/>
        <v>2</v>
      </c>
      <c r="D162">
        <v>0.01</v>
      </c>
      <c r="E162">
        <f t="shared" ca="1" si="8"/>
        <v>0.02</v>
      </c>
    </row>
    <row r="163" spans="1:5" x14ac:dyDescent="0.25">
      <c r="A163">
        <v>162</v>
      </c>
      <c r="B163">
        <f t="shared" ca="1" si="6"/>
        <v>1</v>
      </c>
      <c r="C163">
        <f t="shared" ca="1" si="7"/>
        <v>2</v>
      </c>
      <c r="D163">
        <v>0.01</v>
      </c>
      <c r="E163">
        <f t="shared" ca="1" si="8"/>
        <v>0.02</v>
      </c>
    </row>
    <row r="164" spans="1:5" x14ac:dyDescent="0.25">
      <c r="A164">
        <v>163</v>
      </c>
      <c r="B164">
        <f t="shared" ca="1" si="6"/>
        <v>1</v>
      </c>
      <c r="C164">
        <f t="shared" ca="1" si="7"/>
        <v>2</v>
      </c>
      <c r="D164">
        <v>0.01</v>
      </c>
      <c r="E164">
        <f t="shared" ca="1" si="8"/>
        <v>0.02</v>
      </c>
    </row>
    <row r="165" spans="1:5" x14ac:dyDescent="0.25">
      <c r="A165">
        <v>164</v>
      </c>
      <c r="B165">
        <f t="shared" ca="1" si="6"/>
        <v>-1</v>
      </c>
      <c r="C165">
        <f t="shared" ca="1" si="7"/>
        <v>-1</v>
      </c>
      <c r="D165">
        <v>0.01</v>
      </c>
      <c r="E165">
        <f t="shared" ca="1" si="8"/>
        <v>0.01</v>
      </c>
    </row>
    <row r="166" spans="1:5" x14ac:dyDescent="0.25">
      <c r="A166">
        <v>165</v>
      </c>
      <c r="B166">
        <f t="shared" ca="1" si="6"/>
        <v>-1</v>
      </c>
      <c r="C166">
        <f t="shared" ca="1" si="7"/>
        <v>-1</v>
      </c>
      <c r="D166">
        <v>0.01</v>
      </c>
      <c r="E166">
        <f t="shared" ca="1" si="8"/>
        <v>0.01</v>
      </c>
    </row>
    <row r="167" spans="1:5" x14ac:dyDescent="0.25">
      <c r="A167">
        <v>166</v>
      </c>
      <c r="B167">
        <f t="shared" ca="1" si="6"/>
        <v>1</v>
      </c>
      <c r="C167">
        <f t="shared" ca="1" si="7"/>
        <v>2</v>
      </c>
      <c r="D167">
        <v>0.01</v>
      </c>
      <c r="E167">
        <f t="shared" ca="1" si="8"/>
        <v>0.02</v>
      </c>
    </row>
    <row r="168" spans="1:5" x14ac:dyDescent="0.25">
      <c r="A168">
        <v>167</v>
      </c>
      <c r="B168">
        <f t="shared" ca="1" si="6"/>
        <v>1</v>
      </c>
      <c r="C168">
        <f t="shared" ca="1" si="7"/>
        <v>2</v>
      </c>
      <c r="D168">
        <v>0.01</v>
      </c>
      <c r="E168">
        <f t="shared" ca="1" si="8"/>
        <v>0.02</v>
      </c>
    </row>
    <row r="169" spans="1:5" x14ac:dyDescent="0.25">
      <c r="A169">
        <v>168</v>
      </c>
      <c r="B169">
        <f t="shared" ca="1" si="6"/>
        <v>1</v>
      </c>
      <c r="C169">
        <f t="shared" ca="1" si="7"/>
        <v>2</v>
      </c>
      <c r="D169">
        <v>0.01</v>
      </c>
      <c r="E169">
        <f t="shared" ca="1" si="8"/>
        <v>0.02</v>
      </c>
    </row>
    <row r="170" spans="1:5" x14ac:dyDescent="0.25">
      <c r="A170">
        <v>169</v>
      </c>
      <c r="B170">
        <f t="shared" ca="1" si="6"/>
        <v>-1</v>
      </c>
      <c r="C170">
        <f t="shared" ca="1" si="7"/>
        <v>-1</v>
      </c>
      <c r="D170">
        <v>0.01</v>
      </c>
      <c r="E170">
        <f t="shared" ca="1" si="8"/>
        <v>0.01</v>
      </c>
    </row>
    <row r="171" spans="1:5" x14ac:dyDescent="0.25">
      <c r="A171">
        <v>170</v>
      </c>
      <c r="B171">
        <f t="shared" ca="1" si="6"/>
        <v>1</v>
      </c>
      <c r="C171">
        <f t="shared" ca="1" si="7"/>
        <v>2</v>
      </c>
      <c r="D171">
        <v>0.01</v>
      </c>
      <c r="E171">
        <f t="shared" ca="1" si="8"/>
        <v>0.02</v>
      </c>
    </row>
    <row r="172" spans="1:5" x14ac:dyDescent="0.25">
      <c r="A172">
        <v>171</v>
      </c>
      <c r="B172">
        <f t="shared" ca="1" si="6"/>
        <v>1</v>
      </c>
      <c r="C172">
        <f t="shared" ca="1" si="7"/>
        <v>2</v>
      </c>
      <c r="D172">
        <v>0.01</v>
      </c>
      <c r="E172">
        <f t="shared" ca="1" si="8"/>
        <v>0.02</v>
      </c>
    </row>
    <row r="173" spans="1:5" x14ac:dyDescent="0.25">
      <c r="A173">
        <v>172</v>
      </c>
      <c r="B173">
        <f t="shared" ca="1" si="6"/>
        <v>-1</v>
      </c>
      <c r="C173">
        <f t="shared" ca="1" si="7"/>
        <v>-1</v>
      </c>
      <c r="D173">
        <v>0.01</v>
      </c>
      <c r="E173">
        <f t="shared" ca="1" si="8"/>
        <v>0.01</v>
      </c>
    </row>
    <row r="174" spans="1:5" x14ac:dyDescent="0.25">
      <c r="A174">
        <v>173</v>
      </c>
      <c r="B174">
        <f t="shared" ca="1" si="6"/>
        <v>1</v>
      </c>
      <c r="C174">
        <f t="shared" ca="1" si="7"/>
        <v>2</v>
      </c>
      <c r="D174">
        <v>0.01</v>
      </c>
      <c r="E174">
        <f t="shared" ca="1" si="8"/>
        <v>0.02</v>
      </c>
    </row>
    <row r="175" spans="1:5" x14ac:dyDescent="0.25">
      <c r="A175">
        <v>174</v>
      </c>
      <c r="B175">
        <f t="shared" ca="1" si="6"/>
        <v>1</v>
      </c>
      <c r="C175">
        <f t="shared" ca="1" si="7"/>
        <v>2</v>
      </c>
      <c r="D175">
        <v>0.01</v>
      </c>
      <c r="E175">
        <f t="shared" ca="1" si="8"/>
        <v>0.02</v>
      </c>
    </row>
    <row r="176" spans="1:5" x14ac:dyDescent="0.25">
      <c r="A176">
        <v>175</v>
      </c>
      <c r="B176">
        <f t="shared" ca="1" si="6"/>
        <v>1</v>
      </c>
      <c r="C176">
        <f t="shared" ca="1" si="7"/>
        <v>2</v>
      </c>
      <c r="D176">
        <v>0.01</v>
      </c>
      <c r="E176">
        <f t="shared" ca="1" si="8"/>
        <v>0.02</v>
      </c>
    </row>
    <row r="177" spans="1:5" x14ac:dyDescent="0.25">
      <c r="A177">
        <v>176</v>
      </c>
      <c r="B177">
        <f t="shared" ca="1" si="6"/>
        <v>-1</v>
      </c>
      <c r="C177">
        <f t="shared" ca="1" si="7"/>
        <v>-1</v>
      </c>
      <c r="D177">
        <v>0.01</v>
      </c>
      <c r="E177">
        <f t="shared" ca="1" si="8"/>
        <v>0.01</v>
      </c>
    </row>
    <row r="178" spans="1:5" x14ac:dyDescent="0.25">
      <c r="A178">
        <v>177</v>
      </c>
      <c r="B178">
        <f t="shared" ca="1" si="6"/>
        <v>1</v>
      </c>
      <c r="C178">
        <f t="shared" ca="1" si="7"/>
        <v>2</v>
      </c>
      <c r="D178">
        <v>0.01</v>
      </c>
      <c r="E178">
        <f t="shared" ca="1" si="8"/>
        <v>0.02</v>
      </c>
    </row>
    <row r="179" spans="1:5" x14ac:dyDescent="0.25">
      <c r="A179">
        <v>178</v>
      </c>
      <c r="B179">
        <f t="shared" ca="1" si="6"/>
        <v>-1</v>
      </c>
      <c r="C179">
        <f t="shared" ca="1" si="7"/>
        <v>-1</v>
      </c>
      <c r="D179">
        <v>0.01</v>
      </c>
      <c r="E179">
        <f t="shared" ca="1" si="8"/>
        <v>0.01</v>
      </c>
    </row>
    <row r="180" spans="1:5" x14ac:dyDescent="0.25">
      <c r="A180">
        <v>179</v>
      </c>
      <c r="B180">
        <f t="shared" ca="1" si="6"/>
        <v>1</v>
      </c>
      <c r="C180">
        <f t="shared" ca="1" si="7"/>
        <v>2</v>
      </c>
      <c r="D180">
        <v>0.01</v>
      </c>
      <c r="E180">
        <f t="shared" ca="1" si="8"/>
        <v>0.02</v>
      </c>
    </row>
    <row r="181" spans="1:5" x14ac:dyDescent="0.25">
      <c r="A181">
        <v>180</v>
      </c>
      <c r="B181">
        <f t="shared" ca="1" si="6"/>
        <v>-1</v>
      </c>
      <c r="C181">
        <f t="shared" ca="1" si="7"/>
        <v>-1</v>
      </c>
      <c r="D181">
        <v>0.01</v>
      </c>
      <c r="E181">
        <f t="shared" ca="1" si="8"/>
        <v>0.01</v>
      </c>
    </row>
    <row r="182" spans="1:5" x14ac:dyDescent="0.25">
      <c r="A182">
        <v>181</v>
      </c>
      <c r="B182">
        <f t="shared" ca="1" si="6"/>
        <v>-1</v>
      </c>
      <c r="C182">
        <f t="shared" ca="1" si="7"/>
        <v>-1</v>
      </c>
      <c r="D182">
        <v>0.01</v>
      </c>
      <c r="E182">
        <f t="shared" ca="1" si="8"/>
        <v>0.01</v>
      </c>
    </row>
    <row r="183" spans="1:5" x14ac:dyDescent="0.25">
      <c r="A183">
        <v>182</v>
      </c>
      <c r="B183">
        <f t="shared" ca="1" si="6"/>
        <v>1</v>
      </c>
      <c r="C183">
        <f t="shared" ca="1" si="7"/>
        <v>2</v>
      </c>
      <c r="D183">
        <v>0.01</v>
      </c>
      <c r="E183">
        <f t="shared" ca="1" si="8"/>
        <v>0.02</v>
      </c>
    </row>
    <row r="184" spans="1:5" x14ac:dyDescent="0.25">
      <c r="A184">
        <v>183</v>
      </c>
      <c r="B184">
        <f t="shared" ca="1" si="6"/>
        <v>1</v>
      </c>
      <c r="C184">
        <f t="shared" ca="1" si="7"/>
        <v>2</v>
      </c>
      <c r="D184">
        <v>0.01</v>
      </c>
      <c r="E184">
        <f t="shared" ca="1" si="8"/>
        <v>0.02</v>
      </c>
    </row>
    <row r="185" spans="1:5" x14ac:dyDescent="0.25">
      <c r="A185">
        <v>184</v>
      </c>
      <c r="B185">
        <f t="shared" ca="1" si="6"/>
        <v>-1</v>
      </c>
      <c r="C185">
        <f t="shared" ca="1" si="7"/>
        <v>-1</v>
      </c>
      <c r="D185">
        <v>0.01</v>
      </c>
      <c r="E185">
        <f t="shared" ca="1" si="8"/>
        <v>0.01</v>
      </c>
    </row>
    <row r="186" spans="1:5" x14ac:dyDescent="0.25">
      <c r="A186">
        <v>185</v>
      </c>
      <c r="B186">
        <f t="shared" ca="1" si="6"/>
        <v>-1</v>
      </c>
      <c r="C186">
        <f t="shared" ca="1" si="7"/>
        <v>-1</v>
      </c>
      <c r="D186">
        <v>0.01</v>
      </c>
      <c r="E186">
        <f t="shared" ca="1" si="8"/>
        <v>0.01</v>
      </c>
    </row>
    <row r="187" spans="1:5" x14ac:dyDescent="0.25">
      <c r="A187">
        <v>186</v>
      </c>
      <c r="B187">
        <f t="shared" ca="1" si="6"/>
        <v>-1</v>
      </c>
      <c r="C187">
        <f t="shared" ca="1" si="7"/>
        <v>-1</v>
      </c>
      <c r="D187">
        <v>0.01</v>
      </c>
      <c r="E187">
        <f t="shared" ca="1" si="8"/>
        <v>0.01</v>
      </c>
    </row>
    <row r="188" spans="1:5" x14ac:dyDescent="0.25">
      <c r="A188">
        <v>187</v>
      </c>
      <c r="B188">
        <f t="shared" ca="1" si="6"/>
        <v>1</v>
      </c>
      <c r="C188">
        <f t="shared" ca="1" si="7"/>
        <v>2</v>
      </c>
      <c r="D188">
        <v>0.01</v>
      </c>
      <c r="E188">
        <f t="shared" ca="1" si="8"/>
        <v>0.02</v>
      </c>
    </row>
    <row r="189" spans="1:5" x14ac:dyDescent="0.25">
      <c r="A189">
        <v>188</v>
      </c>
      <c r="B189">
        <f t="shared" ca="1" si="6"/>
        <v>1</v>
      </c>
      <c r="C189">
        <f t="shared" ca="1" si="7"/>
        <v>2</v>
      </c>
      <c r="D189">
        <v>0.01</v>
      </c>
      <c r="E189">
        <f t="shared" ca="1" si="8"/>
        <v>0.02</v>
      </c>
    </row>
    <row r="190" spans="1:5" x14ac:dyDescent="0.25">
      <c r="A190">
        <v>189</v>
      </c>
      <c r="B190">
        <f t="shared" ca="1" si="6"/>
        <v>-1</v>
      </c>
      <c r="C190">
        <f t="shared" ca="1" si="7"/>
        <v>-1</v>
      </c>
      <c r="D190">
        <v>0.01</v>
      </c>
      <c r="E190">
        <f t="shared" ca="1" si="8"/>
        <v>0.01</v>
      </c>
    </row>
    <row r="191" spans="1:5" x14ac:dyDescent="0.25">
      <c r="A191">
        <v>190</v>
      </c>
      <c r="B191">
        <f t="shared" ca="1" si="6"/>
        <v>-1</v>
      </c>
      <c r="C191">
        <f t="shared" ca="1" si="7"/>
        <v>-1</v>
      </c>
      <c r="D191">
        <v>0.01</v>
      </c>
      <c r="E191">
        <f t="shared" ca="1" si="8"/>
        <v>0.01</v>
      </c>
    </row>
    <row r="192" spans="1:5" x14ac:dyDescent="0.25">
      <c r="A192">
        <v>191</v>
      </c>
      <c r="B192">
        <f t="shared" ca="1" si="6"/>
        <v>1</v>
      </c>
      <c r="C192">
        <f t="shared" ca="1" si="7"/>
        <v>2</v>
      </c>
      <c r="D192">
        <v>0.01</v>
      </c>
      <c r="E192">
        <f t="shared" ca="1" si="8"/>
        <v>0.02</v>
      </c>
    </row>
    <row r="193" spans="1:5" x14ac:dyDescent="0.25">
      <c r="A193">
        <v>192</v>
      </c>
      <c r="B193">
        <f t="shared" ca="1" si="6"/>
        <v>-1</v>
      </c>
      <c r="C193">
        <f t="shared" ca="1" si="7"/>
        <v>-1</v>
      </c>
      <c r="D193">
        <v>0.01</v>
      </c>
      <c r="E193">
        <f t="shared" ca="1" si="8"/>
        <v>0.01</v>
      </c>
    </row>
    <row r="194" spans="1:5" x14ac:dyDescent="0.25">
      <c r="A194">
        <v>193</v>
      </c>
      <c r="B194">
        <f t="shared" ref="B194:B257" ca="1" si="9">IF(RAND()&lt;0.55,1,-1)</f>
        <v>1</v>
      </c>
      <c r="C194">
        <f t="shared" ref="C194:C257" ca="1" si="10">IF(B194=1,2,-1)</f>
        <v>2</v>
      </c>
      <c r="D194">
        <v>0.01</v>
      </c>
      <c r="E194">
        <f t="shared" ref="E194:E257" ca="1" si="11">B194*C194*D194</f>
        <v>0.02</v>
      </c>
    </row>
    <row r="195" spans="1:5" x14ac:dyDescent="0.25">
      <c r="A195">
        <v>194</v>
      </c>
      <c r="B195">
        <f t="shared" ca="1" si="9"/>
        <v>-1</v>
      </c>
      <c r="C195">
        <f t="shared" ca="1" si="10"/>
        <v>-1</v>
      </c>
      <c r="D195">
        <v>0.01</v>
      </c>
      <c r="E195">
        <f t="shared" ca="1" si="11"/>
        <v>0.01</v>
      </c>
    </row>
    <row r="196" spans="1:5" x14ac:dyDescent="0.25">
      <c r="A196">
        <v>195</v>
      </c>
      <c r="B196">
        <f t="shared" ca="1" si="9"/>
        <v>1</v>
      </c>
      <c r="C196">
        <f t="shared" ca="1" si="10"/>
        <v>2</v>
      </c>
      <c r="D196">
        <v>0.01</v>
      </c>
      <c r="E196">
        <f t="shared" ca="1" si="11"/>
        <v>0.02</v>
      </c>
    </row>
    <row r="197" spans="1:5" x14ac:dyDescent="0.25">
      <c r="A197">
        <v>196</v>
      </c>
      <c r="B197">
        <f t="shared" ca="1" si="9"/>
        <v>-1</v>
      </c>
      <c r="C197">
        <f t="shared" ca="1" si="10"/>
        <v>-1</v>
      </c>
      <c r="D197">
        <v>0.01</v>
      </c>
      <c r="E197">
        <f t="shared" ca="1" si="11"/>
        <v>0.01</v>
      </c>
    </row>
    <row r="198" spans="1:5" x14ac:dyDescent="0.25">
      <c r="A198">
        <v>197</v>
      </c>
      <c r="B198">
        <f t="shared" ca="1" si="9"/>
        <v>-1</v>
      </c>
      <c r="C198">
        <f t="shared" ca="1" si="10"/>
        <v>-1</v>
      </c>
      <c r="D198">
        <v>0.01</v>
      </c>
      <c r="E198">
        <f t="shared" ca="1" si="11"/>
        <v>0.01</v>
      </c>
    </row>
    <row r="199" spans="1:5" x14ac:dyDescent="0.25">
      <c r="A199">
        <v>198</v>
      </c>
      <c r="B199">
        <f t="shared" ca="1" si="9"/>
        <v>1</v>
      </c>
      <c r="C199">
        <f t="shared" ca="1" si="10"/>
        <v>2</v>
      </c>
      <c r="D199">
        <v>0.01</v>
      </c>
      <c r="E199">
        <f t="shared" ca="1" si="11"/>
        <v>0.02</v>
      </c>
    </row>
    <row r="200" spans="1:5" x14ac:dyDescent="0.25">
      <c r="A200">
        <v>199</v>
      </c>
      <c r="B200">
        <f t="shared" ca="1" si="9"/>
        <v>1</v>
      </c>
      <c r="C200">
        <f t="shared" ca="1" si="10"/>
        <v>2</v>
      </c>
      <c r="D200">
        <v>0.01</v>
      </c>
      <c r="E200">
        <f t="shared" ca="1" si="11"/>
        <v>0.02</v>
      </c>
    </row>
    <row r="201" spans="1:5" x14ac:dyDescent="0.25">
      <c r="A201">
        <v>200</v>
      </c>
      <c r="B201">
        <f t="shared" ca="1" si="9"/>
        <v>1</v>
      </c>
      <c r="C201">
        <f t="shared" ca="1" si="10"/>
        <v>2</v>
      </c>
      <c r="D201">
        <v>0.01</v>
      </c>
      <c r="E201">
        <f t="shared" ca="1" si="11"/>
        <v>0.02</v>
      </c>
    </row>
    <row r="202" spans="1:5" x14ac:dyDescent="0.25">
      <c r="A202">
        <v>201</v>
      </c>
      <c r="B202">
        <f t="shared" ca="1" si="9"/>
        <v>1</v>
      </c>
      <c r="C202">
        <f t="shared" ca="1" si="10"/>
        <v>2</v>
      </c>
      <c r="D202">
        <v>0.01</v>
      </c>
      <c r="E202">
        <f t="shared" ca="1" si="11"/>
        <v>0.02</v>
      </c>
    </row>
    <row r="203" spans="1:5" x14ac:dyDescent="0.25">
      <c r="A203">
        <v>202</v>
      </c>
      <c r="B203">
        <f t="shared" ca="1" si="9"/>
        <v>-1</v>
      </c>
      <c r="C203">
        <f t="shared" ca="1" si="10"/>
        <v>-1</v>
      </c>
      <c r="D203">
        <v>0.01</v>
      </c>
      <c r="E203">
        <f t="shared" ca="1" si="11"/>
        <v>0.01</v>
      </c>
    </row>
    <row r="204" spans="1:5" x14ac:dyDescent="0.25">
      <c r="A204">
        <v>203</v>
      </c>
      <c r="B204">
        <f t="shared" ca="1" si="9"/>
        <v>1</v>
      </c>
      <c r="C204">
        <f t="shared" ca="1" si="10"/>
        <v>2</v>
      </c>
      <c r="D204">
        <v>0.01</v>
      </c>
      <c r="E204">
        <f t="shared" ca="1" si="11"/>
        <v>0.02</v>
      </c>
    </row>
    <row r="205" spans="1:5" x14ac:dyDescent="0.25">
      <c r="A205">
        <v>204</v>
      </c>
      <c r="B205">
        <f t="shared" ca="1" si="9"/>
        <v>-1</v>
      </c>
      <c r="C205">
        <f t="shared" ca="1" si="10"/>
        <v>-1</v>
      </c>
      <c r="D205">
        <v>0.01</v>
      </c>
      <c r="E205">
        <f t="shared" ca="1" si="11"/>
        <v>0.01</v>
      </c>
    </row>
    <row r="206" spans="1:5" x14ac:dyDescent="0.25">
      <c r="A206">
        <v>205</v>
      </c>
      <c r="B206">
        <f t="shared" ca="1" si="9"/>
        <v>1</v>
      </c>
      <c r="C206">
        <f t="shared" ca="1" si="10"/>
        <v>2</v>
      </c>
      <c r="D206">
        <v>0.01</v>
      </c>
      <c r="E206">
        <f t="shared" ca="1" si="11"/>
        <v>0.02</v>
      </c>
    </row>
    <row r="207" spans="1:5" x14ac:dyDescent="0.25">
      <c r="A207">
        <v>206</v>
      </c>
      <c r="B207">
        <f t="shared" ca="1" si="9"/>
        <v>1</v>
      </c>
      <c r="C207">
        <f t="shared" ca="1" si="10"/>
        <v>2</v>
      </c>
      <c r="D207">
        <v>0.01</v>
      </c>
      <c r="E207">
        <f t="shared" ca="1" si="11"/>
        <v>0.02</v>
      </c>
    </row>
    <row r="208" spans="1:5" x14ac:dyDescent="0.25">
      <c r="A208">
        <v>207</v>
      </c>
      <c r="B208">
        <f t="shared" ca="1" si="9"/>
        <v>-1</v>
      </c>
      <c r="C208">
        <f t="shared" ca="1" si="10"/>
        <v>-1</v>
      </c>
      <c r="D208">
        <v>0.01</v>
      </c>
      <c r="E208">
        <f t="shared" ca="1" si="11"/>
        <v>0.01</v>
      </c>
    </row>
    <row r="209" spans="1:5" x14ac:dyDescent="0.25">
      <c r="A209">
        <v>208</v>
      </c>
      <c r="B209">
        <f t="shared" ca="1" si="9"/>
        <v>1</v>
      </c>
      <c r="C209">
        <f t="shared" ca="1" si="10"/>
        <v>2</v>
      </c>
      <c r="D209">
        <v>0.01</v>
      </c>
      <c r="E209">
        <f t="shared" ca="1" si="11"/>
        <v>0.02</v>
      </c>
    </row>
    <row r="210" spans="1:5" x14ac:dyDescent="0.25">
      <c r="A210">
        <v>209</v>
      </c>
      <c r="B210">
        <f t="shared" ca="1" si="9"/>
        <v>-1</v>
      </c>
      <c r="C210">
        <f t="shared" ca="1" si="10"/>
        <v>-1</v>
      </c>
      <c r="D210">
        <v>0.01</v>
      </c>
      <c r="E210">
        <f t="shared" ca="1" si="11"/>
        <v>0.01</v>
      </c>
    </row>
    <row r="211" spans="1:5" x14ac:dyDescent="0.25">
      <c r="A211">
        <v>210</v>
      </c>
      <c r="B211">
        <f t="shared" ca="1" si="9"/>
        <v>1</v>
      </c>
      <c r="C211">
        <f t="shared" ca="1" si="10"/>
        <v>2</v>
      </c>
      <c r="D211">
        <v>0.01</v>
      </c>
      <c r="E211">
        <f t="shared" ca="1" si="11"/>
        <v>0.02</v>
      </c>
    </row>
    <row r="212" spans="1:5" x14ac:dyDescent="0.25">
      <c r="A212">
        <v>211</v>
      </c>
      <c r="B212">
        <f t="shared" ca="1" si="9"/>
        <v>-1</v>
      </c>
      <c r="C212">
        <f t="shared" ca="1" si="10"/>
        <v>-1</v>
      </c>
      <c r="D212">
        <v>0.01</v>
      </c>
      <c r="E212">
        <f t="shared" ca="1" si="11"/>
        <v>0.01</v>
      </c>
    </row>
    <row r="213" spans="1:5" x14ac:dyDescent="0.25">
      <c r="A213">
        <v>212</v>
      </c>
      <c r="B213">
        <f t="shared" ca="1" si="9"/>
        <v>-1</v>
      </c>
      <c r="C213">
        <f t="shared" ca="1" si="10"/>
        <v>-1</v>
      </c>
      <c r="D213">
        <v>0.01</v>
      </c>
      <c r="E213">
        <f t="shared" ca="1" si="11"/>
        <v>0.01</v>
      </c>
    </row>
    <row r="214" spans="1:5" x14ac:dyDescent="0.25">
      <c r="A214">
        <v>213</v>
      </c>
      <c r="B214">
        <f t="shared" ca="1" si="9"/>
        <v>-1</v>
      </c>
      <c r="C214">
        <f t="shared" ca="1" si="10"/>
        <v>-1</v>
      </c>
      <c r="D214">
        <v>0.01</v>
      </c>
      <c r="E214">
        <f t="shared" ca="1" si="11"/>
        <v>0.01</v>
      </c>
    </row>
    <row r="215" spans="1:5" x14ac:dyDescent="0.25">
      <c r="A215">
        <v>214</v>
      </c>
      <c r="B215">
        <f t="shared" ca="1" si="9"/>
        <v>1</v>
      </c>
      <c r="C215">
        <f t="shared" ca="1" si="10"/>
        <v>2</v>
      </c>
      <c r="D215">
        <v>0.01</v>
      </c>
      <c r="E215">
        <f t="shared" ca="1" si="11"/>
        <v>0.02</v>
      </c>
    </row>
    <row r="216" spans="1:5" x14ac:dyDescent="0.25">
      <c r="A216">
        <v>215</v>
      </c>
      <c r="B216">
        <f t="shared" ca="1" si="9"/>
        <v>-1</v>
      </c>
      <c r="C216">
        <f t="shared" ca="1" si="10"/>
        <v>-1</v>
      </c>
      <c r="D216">
        <v>0.01</v>
      </c>
      <c r="E216">
        <f t="shared" ca="1" si="11"/>
        <v>0.01</v>
      </c>
    </row>
    <row r="217" spans="1:5" x14ac:dyDescent="0.25">
      <c r="A217">
        <v>216</v>
      </c>
      <c r="B217">
        <f t="shared" ca="1" si="9"/>
        <v>-1</v>
      </c>
      <c r="C217">
        <f t="shared" ca="1" si="10"/>
        <v>-1</v>
      </c>
      <c r="D217">
        <v>0.01</v>
      </c>
      <c r="E217">
        <f t="shared" ca="1" si="11"/>
        <v>0.01</v>
      </c>
    </row>
    <row r="218" spans="1:5" x14ac:dyDescent="0.25">
      <c r="A218">
        <v>217</v>
      </c>
      <c r="B218">
        <f t="shared" ca="1" si="9"/>
        <v>1</v>
      </c>
      <c r="C218">
        <f t="shared" ca="1" si="10"/>
        <v>2</v>
      </c>
      <c r="D218">
        <v>0.01</v>
      </c>
      <c r="E218">
        <f t="shared" ca="1" si="11"/>
        <v>0.02</v>
      </c>
    </row>
    <row r="219" spans="1:5" x14ac:dyDescent="0.25">
      <c r="A219">
        <v>218</v>
      </c>
      <c r="B219">
        <f t="shared" ca="1" si="9"/>
        <v>1</v>
      </c>
      <c r="C219">
        <f t="shared" ca="1" si="10"/>
        <v>2</v>
      </c>
      <c r="D219">
        <v>0.01</v>
      </c>
      <c r="E219">
        <f t="shared" ca="1" si="11"/>
        <v>0.02</v>
      </c>
    </row>
    <row r="220" spans="1:5" x14ac:dyDescent="0.25">
      <c r="A220">
        <v>219</v>
      </c>
      <c r="B220">
        <f t="shared" ca="1" si="9"/>
        <v>1</v>
      </c>
      <c r="C220">
        <f t="shared" ca="1" si="10"/>
        <v>2</v>
      </c>
      <c r="D220">
        <v>0.01</v>
      </c>
      <c r="E220">
        <f t="shared" ca="1" si="11"/>
        <v>0.02</v>
      </c>
    </row>
    <row r="221" spans="1:5" x14ac:dyDescent="0.25">
      <c r="A221">
        <v>220</v>
      </c>
      <c r="B221">
        <f t="shared" ca="1" si="9"/>
        <v>-1</v>
      </c>
      <c r="C221">
        <f t="shared" ca="1" si="10"/>
        <v>-1</v>
      </c>
      <c r="D221">
        <v>0.01</v>
      </c>
      <c r="E221">
        <f t="shared" ca="1" si="11"/>
        <v>0.01</v>
      </c>
    </row>
    <row r="222" spans="1:5" x14ac:dyDescent="0.25">
      <c r="A222">
        <v>221</v>
      </c>
      <c r="B222">
        <f t="shared" ca="1" si="9"/>
        <v>1</v>
      </c>
      <c r="C222">
        <f t="shared" ca="1" si="10"/>
        <v>2</v>
      </c>
      <c r="D222">
        <v>0.01</v>
      </c>
      <c r="E222">
        <f t="shared" ca="1" si="11"/>
        <v>0.02</v>
      </c>
    </row>
    <row r="223" spans="1:5" x14ac:dyDescent="0.25">
      <c r="A223">
        <v>222</v>
      </c>
      <c r="B223">
        <f t="shared" ca="1" si="9"/>
        <v>1</v>
      </c>
      <c r="C223">
        <f t="shared" ca="1" si="10"/>
        <v>2</v>
      </c>
      <c r="D223">
        <v>0.01</v>
      </c>
      <c r="E223">
        <f t="shared" ca="1" si="11"/>
        <v>0.02</v>
      </c>
    </row>
    <row r="224" spans="1:5" x14ac:dyDescent="0.25">
      <c r="A224">
        <v>223</v>
      </c>
      <c r="B224">
        <f t="shared" ca="1" si="9"/>
        <v>-1</v>
      </c>
      <c r="C224">
        <f t="shared" ca="1" si="10"/>
        <v>-1</v>
      </c>
      <c r="D224">
        <v>0.01</v>
      </c>
      <c r="E224">
        <f t="shared" ca="1" si="11"/>
        <v>0.01</v>
      </c>
    </row>
    <row r="225" spans="1:5" x14ac:dyDescent="0.25">
      <c r="A225">
        <v>224</v>
      </c>
      <c r="B225">
        <f t="shared" ca="1" si="9"/>
        <v>-1</v>
      </c>
      <c r="C225">
        <f t="shared" ca="1" si="10"/>
        <v>-1</v>
      </c>
      <c r="D225">
        <v>0.01</v>
      </c>
      <c r="E225">
        <f t="shared" ca="1" si="11"/>
        <v>0.01</v>
      </c>
    </row>
    <row r="226" spans="1:5" x14ac:dyDescent="0.25">
      <c r="A226">
        <v>225</v>
      </c>
      <c r="B226">
        <f t="shared" ca="1" si="9"/>
        <v>-1</v>
      </c>
      <c r="C226">
        <f t="shared" ca="1" si="10"/>
        <v>-1</v>
      </c>
      <c r="D226">
        <v>0.01</v>
      </c>
      <c r="E226">
        <f t="shared" ca="1" si="11"/>
        <v>0.01</v>
      </c>
    </row>
    <row r="227" spans="1:5" x14ac:dyDescent="0.25">
      <c r="A227">
        <v>226</v>
      </c>
      <c r="B227">
        <f t="shared" ca="1" si="9"/>
        <v>-1</v>
      </c>
      <c r="C227">
        <f t="shared" ca="1" si="10"/>
        <v>-1</v>
      </c>
      <c r="D227">
        <v>0.01</v>
      </c>
      <c r="E227">
        <f t="shared" ca="1" si="11"/>
        <v>0.01</v>
      </c>
    </row>
    <row r="228" spans="1:5" x14ac:dyDescent="0.25">
      <c r="A228">
        <v>227</v>
      </c>
      <c r="B228">
        <f t="shared" ca="1" si="9"/>
        <v>-1</v>
      </c>
      <c r="C228">
        <f t="shared" ca="1" si="10"/>
        <v>-1</v>
      </c>
      <c r="D228">
        <v>0.01</v>
      </c>
      <c r="E228">
        <f t="shared" ca="1" si="11"/>
        <v>0.01</v>
      </c>
    </row>
    <row r="229" spans="1:5" x14ac:dyDescent="0.25">
      <c r="A229">
        <v>228</v>
      </c>
      <c r="B229">
        <f t="shared" ca="1" si="9"/>
        <v>-1</v>
      </c>
      <c r="C229">
        <f t="shared" ca="1" si="10"/>
        <v>-1</v>
      </c>
      <c r="D229">
        <v>0.01</v>
      </c>
      <c r="E229">
        <f t="shared" ca="1" si="11"/>
        <v>0.01</v>
      </c>
    </row>
    <row r="230" spans="1:5" x14ac:dyDescent="0.25">
      <c r="A230">
        <v>229</v>
      </c>
      <c r="B230">
        <f t="shared" ca="1" si="9"/>
        <v>-1</v>
      </c>
      <c r="C230">
        <f t="shared" ca="1" si="10"/>
        <v>-1</v>
      </c>
      <c r="D230">
        <v>0.01</v>
      </c>
      <c r="E230">
        <f t="shared" ca="1" si="11"/>
        <v>0.01</v>
      </c>
    </row>
    <row r="231" spans="1:5" x14ac:dyDescent="0.25">
      <c r="A231">
        <v>230</v>
      </c>
      <c r="B231">
        <f t="shared" ca="1" si="9"/>
        <v>-1</v>
      </c>
      <c r="C231">
        <f t="shared" ca="1" si="10"/>
        <v>-1</v>
      </c>
      <c r="D231">
        <v>0.01</v>
      </c>
      <c r="E231">
        <f t="shared" ca="1" si="11"/>
        <v>0.01</v>
      </c>
    </row>
    <row r="232" spans="1:5" x14ac:dyDescent="0.25">
      <c r="A232">
        <v>231</v>
      </c>
      <c r="B232">
        <f t="shared" ca="1" si="9"/>
        <v>1</v>
      </c>
      <c r="C232">
        <f t="shared" ca="1" si="10"/>
        <v>2</v>
      </c>
      <c r="D232">
        <v>0.01</v>
      </c>
      <c r="E232">
        <f t="shared" ca="1" si="11"/>
        <v>0.02</v>
      </c>
    </row>
    <row r="233" spans="1:5" x14ac:dyDescent="0.25">
      <c r="A233">
        <v>232</v>
      </c>
      <c r="B233">
        <f t="shared" ca="1" si="9"/>
        <v>-1</v>
      </c>
      <c r="C233">
        <f t="shared" ca="1" si="10"/>
        <v>-1</v>
      </c>
      <c r="D233">
        <v>0.01</v>
      </c>
      <c r="E233">
        <f t="shared" ca="1" si="11"/>
        <v>0.01</v>
      </c>
    </row>
    <row r="234" spans="1:5" x14ac:dyDescent="0.25">
      <c r="A234">
        <v>233</v>
      </c>
      <c r="B234">
        <f t="shared" ca="1" si="9"/>
        <v>-1</v>
      </c>
      <c r="C234">
        <f t="shared" ca="1" si="10"/>
        <v>-1</v>
      </c>
      <c r="D234">
        <v>0.01</v>
      </c>
      <c r="E234">
        <f t="shared" ca="1" si="11"/>
        <v>0.01</v>
      </c>
    </row>
    <row r="235" spans="1:5" x14ac:dyDescent="0.25">
      <c r="A235">
        <v>234</v>
      </c>
      <c r="B235">
        <f t="shared" ca="1" si="9"/>
        <v>-1</v>
      </c>
      <c r="C235">
        <f t="shared" ca="1" si="10"/>
        <v>-1</v>
      </c>
      <c r="D235">
        <v>0.01</v>
      </c>
      <c r="E235">
        <f t="shared" ca="1" si="11"/>
        <v>0.01</v>
      </c>
    </row>
    <row r="236" spans="1:5" x14ac:dyDescent="0.25">
      <c r="A236">
        <v>235</v>
      </c>
      <c r="B236">
        <f t="shared" ca="1" si="9"/>
        <v>1</v>
      </c>
      <c r="C236">
        <f t="shared" ca="1" si="10"/>
        <v>2</v>
      </c>
      <c r="D236">
        <v>0.01</v>
      </c>
      <c r="E236">
        <f t="shared" ca="1" si="11"/>
        <v>0.02</v>
      </c>
    </row>
    <row r="237" spans="1:5" x14ac:dyDescent="0.25">
      <c r="A237">
        <v>236</v>
      </c>
      <c r="B237">
        <f t="shared" ca="1" si="9"/>
        <v>1</v>
      </c>
      <c r="C237">
        <f t="shared" ca="1" si="10"/>
        <v>2</v>
      </c>
      <c r="D237">
        <v>0.01</v>
      </c>
      <c r="E237">
        <f t="shared" ca="1" si="11"/>
        <v>0.02</v>
      </c>
    </row>
    <row r="238" spans="1:5" x14ac:dyDescent="0.25">
      <c r="A238">
        <v>237</v>
      </c>
      <c r="B238">
        <f t="shared" ca="1" si="9"/>
        <v>1</v>
      </c>
      <c r="C238">
        <f t="shared" ca="1" si="10"/>
        <v>2</v>
      </c>
      <c r="D238">
        <v>0.01</v>
      </c>
      <c r="E238">
        <f t="shared" ca="1" si="11"/>
        <v>0.02</v>
      </c>
    </row>
    <row r="239" spans="1:5" x14ac:dyDescent="0.25">
      <c r="A239">
        <v>238</v>
      </c>
      <c r="B239">
        <f t="shared" ca="1" si="9"/>
        <v>-1</v>
      </c>
      <c r="C239">
        <f t="shared" ca="1" si="10"/>
        <v>-1</v>
      </c>
      <c r="D239">
        <v>0.01</v>
      </c>
      <c r="E239">
        <f t="shared" ca="1" si="11"/>
        <v>0.01</v>
      </c>
    </row>
    <row r="240" spans="1:5" x14ac:dyDescent="0.25">
      <c r="A240">
        <v>239</v>
      </c>
      <c r="B240">
        <f t="shared" ca="1" si="9"/>
        <v>1</v>
      </c>
      <c r="C240">
        <f t="shared" ca="1" si="10"/>
        <v>2</v>
      </c>
      <c r="D240">
        <v>0.01</v>
      </c>
      <c r="E240">
        <f t="shared" ca="1" si="11"/>
        <v>0.02</v>
      </c>
    </row>
    <row r="241" spans="1:5" x14ac:dyDescent="0.25">
      <c r="A241">
        <v>240</v>
      </c>
      <c r="B241">
        <f t="shared" ca="1" si="9"/>
        <v>-1</v>
      </c>
      <c r="C241">
        <f t="shared" ca="1" si="10"/>
        <v>-1</v>
      </c>
      <c r="D241">
        <v>0.01</v>
      </c>
      <c r="E241">
        <f t="shared" ca="1" si="11"/>
        <v>0.01</v>
      </c>
    </row>
    <row r="242" spans="1:5" x14ac:dyDescent="0.25">
      <c r="A242">
        <v>241</v>
      </c>
      <c r="B242">
        <f t="shared" ca="1" si="9"/>
        <v>1</v>
      </c>
      <c r="C242">
        <f t="shared" ca="1" si="10"/>
        <v>2</v>
      </c>
      <c r="D242">
        <v>0.01</v>
      </c>
      <c r="E242">
        <f t="shared" ca="1" si="11"/>
        <v>0.02</v>
      </c>
    </row>
    <row r="243" spans="1:5" x14ac:dyDescent="0.25">
      <c r="A243">
        <v>242</v>
      </c>
      <c r="B243">
        <f t="shared" ca="1" si="9"/>
        <v>-1</v>
      </c>
      <c r="C243">
        <f t="shared" ca="1" si="10"/>
        <v>-1</v>
      </c>
      <c r="D243">
        <v>0.01</v>
      </c>
      <c r="E243">
        <f t="shared" ca="1" si="11"/>
        <v>0.01</v>
      </c>
    </row>
    <row r="244" spans="1:5" x14ac:dyDescent="0.25">
      <c r="A244">
        <v>243</v>
      </c>
      <c r="B244">
        <f t="shared" ca="1" si="9"/>
        <v>-1</v>
      </c>
      <c r="C244">
        <f t="shared" ca="1" si="10"/>
        <v>-1</v>
      </c>
      <c r="D244">
        <v>0.01</v>
      </c>
      <c r="E244">
        <f t="shared" ca="1" si="11"/>
        <v>0.01</v>
      </c>
    </row>
    <row r="245" spans="1:5" x14ac:dyDescent="0.25">
      <c r="A245">
        <v>244</v>
      </c>
      <c r="B245">
        <f t="shared" ca="1" si="9"/>
        <v>-1</v>
      </c>
      <c r="C245">
        <f t="shared" ca="1" si="10"/>
        <v>-1</v>
      </c>
      <c r="D245">
        <v>0.01</v>
      </c>
      <c r="E245">
        <f t="shared" ca="1" si="11"/>
        <v>0.01</v>
      </c>
    </row>
    <row r="246" spans="1:5" x14ac:dyDescent="0.25">
      <c r="A246">
        <v>245</v>
      </c>
      <c r="B246">
        <f t="shared" ca="1" si="9"/>
        <v>1</v>
      </c>
      <c r="C246">
        <f t="shared" ca="1" si="10"/>
        <v>2</v>
      </c>
      <c r="D246">
        <v>0.01</v>
      </c>
      <c r="E246">
        <f t="shared" ca="1" si="11"/>
        <v>0.02</v>
      </c>
    </row>
    <row r="247" spans="1:5" x14ac:dyDescent="0.25">
      <c r="A247">
        <v>246</v>
      </c>
      <c r="B247">
        <f t="shared" ca="1" si="9"/>
        <v>1</v>
      </c>
      <c r="C247">
        <f t="shared" ca="1" si="10"/>
        <v>2</v>
      </c>
      <c r="D247">
        <v>0.01</v>
      </c>
      <c r="E247">
        <f t="shared" ca="1" si="11"/>
        <v>0.02</v>
      </c>
    </row>
    <row r="248" spans="1:5" x14ac:dyDescent="0.25">
      <c r="A248">
        <v>247</v>
      </c>
      <c r="B248">
        <f t="shared" ca="1" si="9"/>
        <v>1</v>
      </c>
      <c r="C248">
        <f t="shared" ca="1" si="10"/>
        <v>2</v>
      </c>
      <c r="D248">
        <v>0.01</v>
      </c>
      <c r="E248">
        <f t="shared" ca="1" si="11"/>
        <v>0.02</v>
      </c>
    </row>
    <row r="249" spans="1:5" x14ac:dyDescent="0.25">
      <c r="A249">
        <v>248</v>
      </c>
      <c r="B249">
        <f t="shared" ca="1" si="9"/>
        <v>-1</v>
      </c>
      <c r="C249">
        <f t="shared" ca="1" si="10"/>
        <v>-1</v>
      </c>
      <c r="D249">
        <v>0.01</v>
      </c>
      <c r="E249">
        <f t="shared" ca="1" si="11"/>
        <v>0.01</v>
      </c>
    </row>
    <row r="250" spans="1:5" x14ac:dyDescent="0.25">
      <c r="A250">
        <v>249</v>
      </c>
      <c r="B250">
        <f t="shared" ca="1" si="9"/>
        <v>-1</v>
      </c>
      <c r="C250">
        <f t="shared" ca="1" si="10"/>
        <v>-1</v>
      </c>
      <c r="D250">
        <v>0.01</v>
      </c>
      <c r="E250">
        <f t="shared" ca="1" si="11"/>
        <v>0.01</v>
      </c>
    </row>
    <row r="251" spans="1:5" x14ac:dyDescent="0.25">
      <c r="A251">
        <v>250</v>
      </c>
      <c r="B251">
        <f t="shared" ca="1" si="9"/>
        <v>-1</v>
      </c>
      <c r="C251">
        <f t="shared" ca="1" si="10"/>
        <v>-1</v>
      </c>
      <c r="D251">
        <v>0.01</v>
      </c>
      <c r="E251">
        <f t="shared" ca="1" si="11"/>
        <v>0.01</v>
      </c>
    </row>
    <row r="252" spans="1:5" x14ac:dyDescent="0.25">
      <c r="A252">
        <v>251</v>
      </c>
      <c r="B252">
        <f t="shared" ca="1" si="9"/>
        <v>1</v>
      </c>
      <c r="C252">
        <f t="shared" ca="1" si="10"/>
        <v>2</v>
      </c>
      <c r="D252">
        <v>0.01</v>
      </c>
      <c r="E252">
        <f t="shared" ca="1" si="11"/>
        <v>0.02</v>
      </c>
    </row>
    <row r="253" spans="1:5" x14ac:dyDescent="0.25">
      <c r="A253">
        <v>252</v>
      </c>
      <c r="B253">
        <f t="shared" ca="1" si="9"/>
        <v>1</v>
      </c>
      <c r="C253">
        <f t="shared" ca="1" si="10"/>
        <v>2</v>
      </c>
      <c r="D253">
        <v>0.01</v>
      </c>
      <c r="E253">
        <f t="shared" ca="1" si="11"/>
        <v>0.02</v>
      </c>
    </row>
    <row r="254" spans="1:5" x14ac:dyDescent="0.25">
      <c r="A254">
        <v>253</v>
      </c>
      <c r="B254">
        <f t="shared" ca="1" si="9"/>
        <v>1</v>
      </c>
      <c r="C254">
        <f t="shared" ca="1" si="10"/>
        <v>2</v>
      </c>
      <c r="D254">
        <v>0.01</v>
      </c>
      <c r="E254">
        <f t="shared" ca="1" si="11"/>
        <v>0.02</v>
      </c>
    </row>
    <row r="255" spans="1:5" x14ac:dyDescent="0.25">
      <c r="A255">
        <v>254</v>
      </c>
      <c r="B255">
        <f t="shared" ca="1" si="9"/>
        <v>1</v>
      </c>
      <c r="C255">
        <f t="shared" ca="1" si="10"/>
        <v>2</v>
      </c>
      <c r="D255">
        <v>0.01</v>
      </c>
      <c r="E255">
        <f t="shared" ca="1" si="11"/>
        <v>0.02</v>
      </c>
    </row>
    <row r="256" spans="1:5" x14ac:dyDescent="0.25">
      <c r="A256">
        <v>255</v>
      </c>
      <c r="B256">
        <f t="shared" ca="1" si="9"/>
        <v>1</v>
      </c>
      <c r="C256">
        <f t="shared" ca="1" si="10"/>
        <v>2</v>
      </c>
      <c r="D256">
        <v>0.01</v>
      </c>
      <c r="E256">
        <f t="shared" ca="1" si="11"/>
        <v>0.02</v>
      </c>
    </row>
    <row r="257" spans="1:5" x14ac:dyDescent="0.25">
      <c r="A257">
        <v>256</v>
      </c>
      <c r="B257">
        <f t="shared" ca="1" si="9"/>
        <v>1</v>
      </c>
      <c r="C257">
        <f t="shared" ca="1" si="10"/>
        <v>2</v>
      </c>
      <c r="D257">
        <v>0.01</v>
      </c>
      <c r="E257">
        <f t="shared" ca="1" si="11"/>
        <v>0.02</v>
      </c>
    </row>
    <row r="258" spans="1:5" x14ac:dyDescent="0.25">
      <c r="A258">
        <v>257</v>
      </c>
      <c r="B258">
        <f t="shared" ref="B258:B321" ca="1" si="12">IF(RAND()&lt;0.55,1,-1)</f>
        <v>1</v>
      </c>
      <c r="C258">
        <f t="shared" ref="C258:C321" ca="1" si="13">IF(B258=1,2,-1)</f>
        <v>2</v>
      </c>
      <c r="D258">
        <v>0.01</v>
      </c>
      <c r="E258">
        <f t="shared" ref="E258:E321" ca="1" si="14">B258*C258*D258</f>
        <v>0.02</v>
      </c>
    </row>
    <row r="259" spans="1:5" x14ac:dyDescent="0.25">
      <c r="A259">
        <v>258</v>
      </c>
      <c r="B259">
        <f t="shared" ca="1" si="12"/>
        <v>-1</v>
      </c>
      <c r="C259">
        <f t="shared" ca="1" si="13"/>
        <v>-1</v>
      </c>
      <c r="D259">
        <v>0.01</v>
      </c>
      <c r="E259">
        <f t="shared" ca="1" si="14"/>
        <v>0.01</v>
      </c>
    </row>
    <row r="260" spans="1:5" x14ac:dyDescent="0.25">
      <c r="A260">
        <v>259</v>
      </c>
      <c r="B260">
        <f t="shared" ca="1" si="12"/>
        <v>-1</v>
      </c>
      <c r="C260">
        <f t="shared" ca="1" si="13"/>
        <v>-1</v>
      </c>
      <c r="D260">
        <v>0.01</v>
      </c>
      <c r="E260">
        <f t="shared" ca="1" si="14"/>
        <v>0.01</v>
      </c>
    </row>
    <row r="261" spans="1:5" x14ac:dyDescent="0.25">
      <c r="A261">
        <v>260</v>
      </c>
      <c r="B261">
        <f t="shared" ca="1" si="12"/>
        <v>-1</v>
      </c>
      <c r="C261">
        <f t="shared" ca="1" si="13"/>
        <v>-1</v>
      </c>
      <c r="D261">
        <v>0.01</v>
      </c>
      <c r="E261">
        <f t="shared" ca="1" si="14"/>
        <v>0.01</v>
      </c>
    </row>
    <row r="262" spans="1:5" x14ac:dyDescent="0.25">
      <c r="A262">
        <v>261</v>
      </c>
      <c r="B262">
        <f t="shared" ca="1" si="12"/>
        <v>-1</v>
      </c>
      <c r="C262">
        <f t="shared" ca="1" si="13"/>
        <v>-1</v>
      </c>
      <c r="D262">
        <v>0.01</v>
      </c>
      <c r="E262">
        <f t="shared" ca="1" si="14"/>
        <v>0.01</v>
      </c>
    </row>
    <row r="263" spans="1:5" x14ac:dyDescent="0.25">
      <c r="A263">
        <v>262</v>
      </c>
      <c r="B263">
        <f t="shared" ca="1" si="12"/>
        <v>1</v>
      </c>
      <c r="C263">
        <f t="shared" ca="1" si="13"/>
        <v>2</v>
      </c>
      <c r="D263">
        <v>0.01</v>
      </c>
      <c r="E263">
        <f t="shared" ca="1" si="14"/>
        <v>0.02</v>
      </c>
    </row>
    <row r="264" spans="1:5" x14ac:dyDescent="0.25">
      <c r="A264">
        <v>263</v>
      </c>
      <c r="B264">
        <f t="shared" ca="1" si="12"/>
        <v>1</v>
      </c>
      <c r="C264">
        <f t="shared" ca="1" si="13"/>
        <v>2</v>
      </c>
      <c r="D264">
        <v>0.01</v>
      </c>
      <c r="E264">
        <f t="shared" ca="1" si="14"/>
        <v>0.02</v>
      </c>
    </row>
    <row r="265" spans="1:5" x14ac:dyDescent="0.25">
      <c r="A265">
        <v>264</v>
      </c>
      <c r="B265">
        <f t="shared" ca="1" si="12"/>
        <v>1</v>
      </c>
      <c r="C265">
        <f t="shared" ca="1" si="13"/>
        <v>2</v>
      </c>
      <c r="D265">
        <v>0.01</v>
      </c>
      <c r="E265">
        <f t="shared" ca="1" si="14"/>
        <v>0.02</v>
      </c>
    </row>
    <row r="266" spans="1:5" x14ac:dyDescent="0.25">
      <c r="A266">
        <v>265</v>
      </c>
      <c r="B266">
        <f t="shared" ca="1" si="12"/>
        <v>1</v>
      </c>
      <c r="C266">
        <f t="shared" ca="1" si="13"/>
        <v>2</v>
      </c>
      <c r="D266">
        <v>0.01</v>
      </c>
      <c r="E266">
        <f t="shared" ca="1" si="14"/>
        <v>0.02</v>
      </c>
    </row>
    <row r="267" spans="1:5" x14ac:dyDescent="0.25">
      <c r="A267">
        <v>266</v>
      </c>
      <c r="B267">
        <f t="shared" ca="1" si="12"/>
        <v>1</v>
      </c>
      <c r="C267">
        <f t="shared" ca="1" si="13"/>
        <v>2</v>
      </c>
      <c r="D267">
        <v>0.01</v>
      </c>
      <c r="E267">
        <f t="shared" ca="1" si="14"/>
        <v>0.02</v>
      </c>
    </row>
    <row r="268" spans="1:5" x14ac:dyDescent="0.25">
      <c r="A268">
        <v>267</v>
      </c>
      <c r="B268">
        <f t="shared" ca="1" si="12"/>
        <v>1</v>
      </c>
      <c r="C268">
        <f t="shared" ca="1" si="13"/>
        <v>2</v>
      </c>
      <c r="D268">
        <v>0.01</v>
      </c>
      <c r="E268">
        <f t="shared" ca="1" si="14"/>
        <v>0.02</v>
      </c>
    </row>
    <row r="269" spans="1:5" x14ac:dyDescent="0.25">
      <c r="A269">
        <v>268</v>
      </c>
      <c r="B269">
        <f t="shared" ca="1" si="12"/>
        <v>1</v>
      </c>
      <c r="C269">
        <f t="shared" ca="1" si="13"/>
        <v>2</v>
      </c>
      <c r="D269">
        <v>0.01</v>
      </c>
      <c r="E269">
        <f t="shared" ca="1" si="14"/>
        <v>0.02</v>
      </c>
    </row>
    <row r="270" spans="1:5" x14ac:dyDescent="0.25">
      <c r="A270">
        <v>269</v>
      </c>
      <c r="B270">
        <f t="shared" ca="1" si="12"/>
        <v>1</v>
      </c>
      <c r="C270">
        <f t="shared" ca="1" si="13"/>
        <v>2</v>
      </c>
      <c r="D270">
        <v>0.01</v>
      </c>
      <c r="E270">
        <f t="shared" ca="1" si="14"/>
        <v>0.02</v>
      </c>
    </row>
    <row r="271" spans="1:5" x14ac:dyDescent="0.25">
      <c r="A271">
        <v>270</v>
      </c>
      <c r="B271">
        <f t="shared" ca="1" si="12"/>
        <v>1</v>
      </c>
      <c r="C271">
        <f t="shared" ca="1" si="13"/>
        <v>2</v>
      </c>
      <c r="D271">
        <v>0.01</v>
      </c>
      <c r="E271">
        <f t="shared" ca="1" si="14"/>
        <v>0.02</v>
      </c>
    </row>
    <row r="272" spans="1:5" x14ac:dyDescent="0.25">
      <c r="A272">
        <v>271</v>
      </c>
      <c r="B272">
        <f t="shared" ca="1" si="12"/>
        <v>-1</v>
      </c>
      <c r="C272">
        <f t="shared" ca="1" si="13"/>
        <v>-1</v>
      </c>
      <c r="D272">
        <v>0.01</v>
      </c>
      <c r="E272">
        <f t="shared" ca="1" si="14"/>
        <v>0.01</v>
      </c>
    </row>
    <row r="273" spans="1:5" x14ac:dyDescent="0.25">
      <c r="A273">
        <v>272</v>
      </c>
      <c r="B273">
        <f t="shared" ca="1" si="12"/>
        <v>1</v>
      </c>
      <c r="C273">
        <f t="shared" ca="1" si="13"/>
        <v>2</v>
      </c>
      <c r="D273">
        <v>0.01</v>
      </c>
      <c r="E273">
        <f t="shared" ca="1" si="14"/>
        <v>0.02</v>
      </c>
    </row>
    <row r="274" spans="1:5" x14ac:dyDescent="0.25">
      <c r="A274">
        <v>273</v>
      </c>
      <c r="B274">
        <f t="shared" ca="1" si="12"/>
        <v>-1</v>
      </c>
      <c r="C274">
        <f t="shared" ca="1" si="13"/>
        <v>-1</v>
      </c>
      <c r="D274">
        <v>0.01</v>
      </c>
      <c r="E274">
        <f t="shared" ca="1" si="14"/>
        <v>0.01</v>
      </c>
    </row>
    <row r="275" spans="1:5" x14ac:dyDescent="0.25">
      <c r="A275">
        <v>274</v>
      </c>
      <c r="B275">
        <f t="shared" ca="1" si="12"/>
        <v>1</v>
      </c>
      <c r="C275">
        <f t="shared" ca="1" si="13"/>
        <v>2</v>
      </c>
      <c r="D275">
        <v>0.01</v>
      </c>
      <c r="E275">
        <f t="shared" ca="1" si="14"/>
        <v>0.02</v>
      </c>
    </row>
    <row r="276" spans="1:5" x14ac:dyDescent="0.25">
      <c r="A276">
        <v>275</v>
      </c>
      <c r="B276">
        <f t="shared" ca="1" si="12"/>
        <v>1</v>
      </c>
      <c r="C276">
        <f t="shared" ca="1" si="13"/>
        <v>2</v>
      </c>
      <c r="D276">
        <v>0.01</v>
      </c>
      <c r="E276">
        <f t="shared" ca="1" si="14"/>
        <v>0.02</v>
      </c>
    </row>
    <row r="277" spans="1:5" x14ac:dyDescent="0.25">
      <c r="A277">
        <v>276</v>
      </c>
      <c r="B277">
        <f t="shared" ca="1" si="12"/>
        <v>-1</v>
      </c>
      <c r="C277">
        <f t="shared" ca="1" si="13"/>
        <v>-1</v>
      </c>
      <c r="D277">
        <v>0.01</v>
      </c>
      <c r="E277">
        <f t="shared" ca="1" si="14"/>
        <v>0.01</v>
      </c>
    </row>
    <row r="278" spans="1:5" x14ac:dyDescent="0.25">
      <c r="A278">
        <v>277</v>
      </c>
      <c r="B278">
        <f t="shared" ca="1" si="12"/>
        <v>1</v>
      </c>
      <c r="C278">
        <f t="shared" ca="1" si="13"/>
        <v>2</v>
      </c>
      <c r="D278">
        <v>0.01</v>
      </c>
      <c r="E278">
        <f t="shared" ca="1" si="14"/>
        <v>0.02</v>
      </c>
    </row>
    <row r="279" spans="1:5" x14ac:dyDescent="0.25">
      <c r="A279">
        <v>278</v>
      </c>
      <c r="B279">
        <f t="shared" ca="1" si="12"/>
        <v>1</v>
      </c>
      <c r="C279">
        <f t="shared" ca="1" si="13"/>
        <v>2</v>
      </c>
      <c r="D279">
        <v>0.01</v>
      </c>
      <c r="E279">
        <f t="shared" ca="1" si="14"/>
        <v>0.02</v>
      </c>
    </row>
    <row r="280" spans="1:5" x14ac:dyDescent="0.25">
      <c r="A280">
        <v>279</v>
      </c>
      <c r="B280">
        <f t="shared" ca="1" si="12"/>
        <v>1</v>
      </c>
      <c r="C280">
        <f t="shared" ca="1" si="13"/>
        <v>2</v>
      </c>
      <c r="D280">
        <v>0.01</v>
      </c>
      <c r="E280">
        <f t="shared" ca="1" si="14"/>
        <v>0.02</v>
      </c>
    </row>
    <row r="281" spans="1:5" x14ac:dyDescent="0.25">
      <c r="A281">
        <v>280</v>
      </c>
      <c r="B281">
        <f t="shared" ca="1" si="12"/>
        <v>-1</v>
      </c>
      <c r="C281">
        <f t="shared" ca="1" si="13"/>
        <v>-1</v>
      </c>
      <c r="D281">
        <v>0.01</v>
      </c>
      <c r="E281">
        <f t="shared" ca="1" si="14"/>
        <v>0.01</v>
      </c>
    </row>
    <row r="282" spans="1:5" x14ac:dyDescent="0.25">
      <c r="A282">
        <v>281</v>
      </c>
      <c r="B282">
        <f t="shared" ca="1" si="12"/>
        <v>1</v>
      </c>
      <c r="C282">
        <f t="shared" ca="1" si="13"/>
        <v>2</v>
      </c>
      <c r="D282">
        <v>0.01</v>
      </c>
      <c r="E282">
        <f t="shared" ca="1" si="14"/>
        <v>0.02</v>
      </c>
    </row>
    <row r="283" spans="1:5" x14ac:dyDescent="0.25">
      <c r="A283">
        <v>282</v>
      </c>
      <c r="B283">
        <f t="shared" ca="1" si="12"/>
        <v>-1</v>
      </c>
      <c r="C283">
        <f t="shared" ca="1" si="13"/>
        <v>-1</v>
      </c>
      <c r="D283">
        <v>0.01</v>
      </c>
      <c r="E283">
        <f t="shared" ca="1" si="14"/>
        <v>0.01</v>
      </c>
    </row>
    <row r="284" spans="1:5" x14ac:dyDescent="0.25">
      <c r="A284">
        <v>283</v>
      </c>
      <c r="B284">
        <f t="shared" ca="1" si="12"/>
        <v>-1</v>
      </c>
      <c r="C284">
        <f t="shared" ca="1" si="13"/>
        <v>-1</v>
      </c>
      <c r="D284">
        <v>0.01</v>
      </c>
      <c r="E284">
        <f t="shared" ca="1" si="14"/>
        <v>0.01</v>
      </c>
    </row>
    <row r="285" spans="1:5" x14ac:dyDescent="0.25">
      <c r="A285">
        <v>284</v>
      </c>
      <c r="B285">
        <f t="shared" ca="1" si="12"/>
        <v>-1</v>
      </c>
      <c r="C285">
        <f t="shared" ca="1" si="13"/>
        <v>-1</v>
      </c>
      <c r="D285">
        <v>0.01</v>
      </c>
      <c r="E285">
        <f t="shared" ca="1" si="14"/>
        <v>0.01</v>
      </c>
    </row>
    <row r="286" spans="1:5" x14ac:dyDescent="0.25">
      <c r="A286">
        <v>285</v>
      </c>
      <c r="B286">
        <f t="shared" ca="1" si="12"/>
        <v>1</v>
      </c>
      <c r="C286">
        <f t="shared" ca="1" si="13"/>
        <v>2</v>
      </c>
      <c r="D286">
        <v>0.01</v>
      </c>
      <c r="E286">
        <f t="shared" ca="1" si="14"/>
        <v>0.02</v>
      </c>
    </row>
    <row r="287" spans="1:5" x14ac:dyDescent="0.25">
      <c r="A287">
        <v>286</v>
      </c>
      <c r="B287">
        <f t="shared" ca="1" si="12"/>
        <v>1</v>
      </c>
      <c r="C287">
        <f t="shared" ca="1" si="13"/>
        <v>2</v>
      </c>
      <c r="D287">
        <v>0.01</v>
      </c>
      <c r="E287">
        <f t="shared" ca="1" si="14"/>
        <v>0.02</v>
      </c>
    </row>
    <row r="288" spans="1:5" x14ac:dyDescent="0.25">
      <c r="A288">
        <v>287</v>
      </c>
      <c r="B288">
        <f t="shared" ca="1" si="12"/>
        <v>-1</v>
      </c>
      <c r="C288">
        <f t="shared" ca="1" si="13"/>
        <v>-1</v>
      </c>
      <c r="D288">
        <v>0.01</v>
      </c>
      <c r="E288">
        <f t="shared" ca="1" si="14"/>
        <v>0.01</v>
      </c>
    </row>
    <row r="289" spans="1:5" x14ac:dyDescent="0.25">
      <c r="A289">
        <v>288</v>
      </c>
      <c r="B289">
        <f t="shared" ca="1" si="12"/>
        <v>-1</v>
      </c>
      <c r="C289">
        <f t="shared" ca="1" si="13"/>
        <v>-1</v>
      </c>
      <c r="D289">
        <v>0.01</v>
      </c>
      <c r="E289">
        <f t="shared" ca="1" si="14"/>
        <v>0.01</v>
      </c>
    </row>
    <row r="290" spans="1:5" x14ac:dyDescent="0.25">
      <c r="A290">
        <v>289</v>
      </c>
      <c r="B290">
        <f t="shared" ca="1" si="12"/>
        <v>1</v>
      </c>
      <c r="C290">
        <f t="shared" ca="1" si="13"/>
        <v>2</v>
      </c>
      <c r="D290">
        <v>0.01</v>
      </c>
      <c r="E290">
        <f t="shared" ca="1" si="14"/>
        <v>0.02</v>
      </c>
    </row>
    <row r="291" spans="1:5" x14ac:dyDescent="0.25">
      <c r="A291">
        <v>290</v>
      </c>
      <c r="B291">
        <f t="shared" ca="1" si="12"/>
        <v>-1</v>
      </c>
      <c r="C291">
        <f t="shared" ca="1" si="13"/>
        <v>-1</v>
      </c>
      <c r="D291">
        <v>0.01</v>
      </c>
      <c r="E291">
        <f t="shared" ca="1" si="14"/>
        <v>0.01</v>
      </c>
    </row>
    <row r="292" spans="1:5" x14ac:dyDescent="0.25">
      <c r="A292">
        <v>291</v>
      </c>
      <c r="B292">
        <f t="shared" ca="1" si="12"/>
        <v>1</v>
      </c>
      <c r="C292">
        <f t="shared" ca="1" si="13"/>
        <v>2</v>
      </c>
      <c r="D292">
        <v>0.01</v>
      </c>
      <c r="E292">
        <f t="shared" ca="1" si="14"/>
        <v>0.02</v>
      </c>
    </row>
    <row r="293" spans="1:5" x14ac:dyDescent="0.25">
      <c r="A293">
        <v>292</v>
      </c>
      <c r="B293">
        <f t="shared" ca="1" si="12"/>
        <v>-1</v>
      </c>
      <c r="C293">
        <f t="shared" ca="1" si="13"/>
        <v>-1</v>
      </c>
      <c r="D293">
        <v>0.01</v>
      </c>
      <c r="E293">
        <f t="shared" ca="1" si="14"/>
        <v>0.01</v>
      </c>
    </row>
    <row r="294" spans="1:5" x14ac:dyDescent="0.25">
      <c r="A294">
        <v>293</v>
      </c>
      <c r="B294">
        <f t="shared" ca="1" si="12"/>
        <v>-1</v>
      </c>
      <c r="C294">
        <f t="shared" ca="1" si="13"/>
        <v>-1</v>
      </c>
      <c r="D294">
        <v>0.01</v>
      </c>
      <c r="E294">
        <f t="shared" ca="1" si="14"/>
        <v>0.01</v>
      </c>
    </row>
    <row r="295" spans="1:5" x14ac:dyDescent="0.25">
      <c r="A295">
        <v>294</v>
      </c>
      <c r="B295">
        <f t="shared" ca="1" si="12"/>
        <v>-1</v>
      </c>
      <c r="C295">
        <f t="shared" ca="1" si="13"/>
        <v>-1</v>
      </c>
      <c r="D295">
        <v>0.01</v>
      </c>
      <c r="E295">
        <f t="shared" ca="1" si="14"/>
        <v>0.01</v>
      </c>
    </row>
    <row r="296" spans="1:5" x14ac:dyDescent="0.25">
      <c r="A296">
        <v>295</v>
      </c>
      <c r="B296">
        <f t="shared" ca="1" si="12"/>
        <v>-1</v>
      </c>
      <c r="C296">
        <f t="shared" ca="1" si="13"/>
        <v>-1</v>
      </c>
      <c r="D296">
        <v>0.01</v>
      </c>
      <c r="E296">
        <f t="shared" ca="1" si="14"/>
        <v>0.01</v>
      </c>
    </row>
    <row r="297" spans="1:5" x14ac:dyDescent="0.25">
      <c r="A297">
        <v>296</v>
      </c>
      <c r="B297">
        <f t="shared" ca="1" si="12"/>
        <v>1</v>
      </c>
      <c r="C297">
        <f t="shared" ca="1" si="13"/>
        <v>2</v>
      </c>
      <c r="D297">
        <v>0.01</v>
      </c>
      <c r="E297">
        <f t="shared" ca="1" si="14"/>
        <v>0.02</v>
      </c>
    </row>
    <row r="298" spans="1:5" x14ac:dyDescent="0.25">
      <c r="A298">
        <v>297</v>
      </c>
      <c r="B298">
        <f t="shared" ca="1" si="12"/>
        <v>1</v>
      </c>
      <c r="C298">
        <f t="shared" ca="1" si="13"/>
        <v>2</v>
      </c>
      <c r="D298">
        <v>0.01</v>
      </c>
      <c r="E298">
        <f t="shared" ca="1" si="14"/>
        <v>0.02</v>
      </c>
    </row>
    <row r="299" spans="1:5" x14ac:dyDescent="0.25">
      <c r="A299">
        <v>298</v>
      </c>
      <c r="B299">
        <f t="shared" ca="1" si="12"/>
        <v>1</v>
      </c>
      <c r="C299">
        <f t="shared" ca="1" si="13"/>
        <v>2</v>
      </c>
      <c r="D299">
        <v>0.01</v>
      </c>
      <c r="E299">
        <f t="shared" ca="1" si="14"/>
        <v>0.02</v>
      </c>
    </row>
    <row r="300" spans="1:5" x14ac:dyDescent="0.25">
      <c r="A300">
        <v>299</v>
      </c>
      <c r="B300">
        <f t="shared" ca="1" si="12"/>
        <v>-1</v>
      </c>
      <c r="C300">
        <f t="shared" ca="1" si="13"/>
        <v>-1</v>
      </c>
      <c r="D300">
        <v>0.01</v>
      </c>
      <c r="E300">
        <f t="shared" ca="1" si="14"/>
        <v>0.01</v>
      </c>
    </row>
    <row r="301" spans="1:5" x14ac:dyDescent="0.25">
      <c r="A301">
        <v>300</v>
      </c>
      <c r="B301">
        <f t="shared" ca="1" si="12"/>
        <v>1</v>
      </c>
      <c r="C301">
        <f t="shared" ca="1" si="13"/>
        <v>2</v>
      </c>
      <c r="D301">
        <v>0.01</v>
      </c>
      <c r="E301">
        <f t="shared" ca="1" si="14"/>
        <v>0.02</v>
      </c>
    </row>
    <row r="302" spans="1:5" x14ac:dyDescent="0.25">
      <c r="A302">
        <v>301</v>
      </c>
      <c r="B302">
        <f t="shared" ca="1" si="12"/>
        <v>1</v>
      </c>
      <c r="C302">
        <f t="shared" ca="1" si="13"/>
        <v>2</v>
      </c>
      <c r="D302">
        <v>0.01</v>
      </c>
      <c r="E302">
        <f t="shared" ca="1" si="14"/>
        <v>0.02</v>
      </c>
    </row>
    <row r="303" spans="1:5" x14ac:dyDescent="0.25">
      <c r="A303">
        <v>302</v>
      </c>
      <c r="B303">
        <f t="shared" ca="1" si="12"/>
        <v>-1</v>
      </c>
      <c r="C303">
        <f t="shared" ca="1" si="13"/>
        <v>-1</v>
      </c>
      <c r="D303">
        <v>0.01</v>
      </c>
      <c r="E303">
        <f t="shared" ca="1" si="14"/>
        <v>0.01</v>
      </c>
    </row>
    <row r="304" spans="1:5" x14ac:dyDescent="0.25">
      <c r="A304">
        <v>303</v>
      </c>
      <c r="B304">
        <f t="shared" ca="1" si="12"/>
        <v>1</v>
      </c>
      <c r="C304">
        <f t="shared" ca="1" si="13"/>
        <v>2</v>
      </c>
      <c r="D304">
        <v>0.01</v>
      </c>
      <c r="E304">
        <f t="shared" ca="1" si="14"/>
        <v>0.02</v>
      </c>
    </row>
    <row r="305" spans="1:5" x14ac:dyDescent="0.25">
      <c r="A305">
        <v>304</v>
      </c>
      <c r="B305">
        <f t="shared" ca="1" si="12"/>
        <v>1</v>
      </c>
      <c r="C305">
        <f t="shared" ca="1" si="13"/>
        <v>2</v>
      </c>
      <c r="D305">
        <v>0.01</v>
      </c>
      <c r="E305">
        <f t="shared" ca="1" si="14"/>
        <v>0.02</v>
      </c>
    </row>
    <row r="306" spans="1:5" x14ac:dyDescent="0.25">
      <c r="A306">
        <v>305</v>
      </c>
      <c r="B306">
        <f t="shared" ca="1" si="12"/>
        <v>-1</v>
      </c>
      <c r="C306">
        <f t="shared" ca="1" si="13"/>
        <v>-1</v>
      </c>
      <c r="D306">
        <v>0.01</v>
      </c>
      <c r="E306">
        <f t="shared" ca="1" si="14"/>
        <v>0.01</v>
      </c>
    </row>
    <row r="307" spans="1:5" x14ac:dyDescent="0.25">
      <c r="A307">
        <v>306</v>
      </c>
      <c r="B307">
        <f t="shared" ca="1" si="12"/>
        <v>1</v>
      </c>
      <c r="C307">
        <f t="shared" ca="1" si="13"/>
        <v>2</v>
      </c>
      <c r="D307">
        <v>0.01</v>
      </c>
      <c r="E307">
        <f t="shared" ca="1" si="14"/>
        <v>0.02</v>
      </c>
    </row>
    <row r="308" spans="1:5" x14ac:dyDescent="0.25">
      <c r="A308">
        <v>307</v>
      </c>
      <c r="B308">
        <f t="shared" ca="1" si="12"/>
        <v>1</v>
      </c>
      <c r="C308">
        <f t="shared" ca="1" si="13"/>
        <v>2</v>
      </c>
      <c r="D308">
        <v>0.01</v>
      </c>
      <c r="E308">
        <f t="shared" ca="1" si="14"/>
        <v>0.02</v>
      </c>
    </row>
    <row r="309" spans="1:5" x14ac:dyDescent="0.25">
      <c r="A309">
        <v>308</v>
      </c>
      <c r="B309">
        <f t="shared" ca="1" si="12"/>
        <v>-1</v>
      </c>
      <c r="C309">
        <f t="shared" ca="1" si="13"/>
        <v>-1</v>
      </c>
      <c r="D309">
        <v>0.01</v>
      </c>
      <c r="E309">
        <f t="shared" ca="1" si="14"/>
        <v>0.01</v>
      </c>
    </row>
    <row r="310" spans="1:5" x14ac:dyDescent="0.25">
      <c r="A310">
        <v>309</v>
      </c>
      <c r="B310">
        <f t="shared" ca="1" si="12"/>
        <v>1</v>
      </c>
      <c r="C310">
        <f t="shared" ca="1" si="13"/>
        <v>2</v>
      </c>
      <c r="D310">
        <v>0.01</v>
      </c>
      <c r="E310">
        <f t="shared" ca="1" si="14"/>
        <v>0.02</v>
      </c>
    </row>
    <row r="311" spans="1:5" x14ac:dyDescent="0.25">
      <c r="A311">
        <v>310</v>
      </c>
      <c r="B311">
        <f t="shared" ca="1" si="12"/>
        <v>1</v>
      </c>
      <c r="C311">
        <f t="shared" ca="1" si="13"/>
        <v>2</v>
      </c>
      <c r="D311">
        <v>0.01</v>
      </c>
      <c r="E311">
        <f t="shared" ca="1" si="14"/>
        <v>0.02</v>
      </c>
    </row>
    <row r="312" spans="1:5" x14ac:dyDescent="0.25">
      <c r="A312">
        <v>311</v>
      </c>
      <c r="B312">
        <f t="shared" ca="1" si="12"/>
        <v>1</v>
      </c>
      <c r="C312">
        <f t="shared" ca="1" si="13"/>
        <v>2</v>
      </c>
      <c r="D312">
        <v>0.01</v>
      </c>
      <c r="E312">
        <f t="shared" ca="1" si="14"/>
        <v>0.02</v>
      </c>
    </row>
    <row r="313" spans="1:5" x14ac:dyDescent="0.25">
      <c r="A313">
        <v>312</v>
      </c>
      <c r="B313">
        <f t="shared" ca="1" si="12"/>
        <v>1</v>
      </c>
      <c r="C313">
        <f t="shared" ca="1" si="13"/>
        <v>2</v>
      </c>
      <c r="D313">
        <v>0.01</v>
      </c>
      <c r="E313">
        <f t="shared" ca="1" si="14"/>
        <v>0.02</v>
      </c>
    </row>
    <row r="314" spans="1:5" x14ac:dyDescent="0.25">
      <c r="A314">
        <v>313</v>
      </c>
      <c r="B314">
        <f t="shared" ca="1" si="12"/>
        <v>-1</v>
      </c>
      <c r="C314">
        <f t="shared" ca="1" si="13"/>
        <v>-1</v>
      </c>
      <c r="D314">
        <v>0.01</v>
      </c>
      <c r="E314">
        <f t="shared" ca="1" si="14"/>
        <v>0.01</v>
      </c>
    </row>
    <row r="315" spans="1:5" x14ac:dyDescent="0.25">
      <c r="A315">
        <v>314</v>
      </c>
      <c r="B315">
        <f t="shared" ca="1" si="12"/>
        <v>1</v>
      </c>
      <c r="C315">
        <f t="shared" ca="1" si="13"/>
        <v>2</v>
      </c>
      <c r="D315">
        <v>0.01</v>
      </c>
      <c r="E315">
        <f t="shared" ca="1" si="14"/>
        <v>0.02</v>
      </c>
    </row>
    <row r="316" spans="1:5" x14ac:dyDescent="0.25">
      <c r="A316">
        <v>315</v>
      </c>
      <c r="B316">
        <f t="shared" ca="1" si="12"/>
        <v>1</v>
      </c>
      <c r="C316">
        <f t="shared" ca="1" si="13"/>
        <v>2</v>
      </c>
      <c r="D316">
        <v>0.01</v>
      </c>
      <c r="E316">
        <f t="shared" ca="1" si="14"/>
        <v>0.02</v>
      </c>
    </row>
    <row r="317" spans="1:5" x14ac:dyDescent="0.25">
      <c r="A317">
        <v>316</v>
      </c>
      <c r="B317">
        <f t="shared" ca="1" si="12"/>
        <v>1</v>
      </c>
      <c r="C317">
        <f t="shared" ca="1" si="13"/>
        <v>2</v>
      </c>
      <c r="D317">
        <v>0.01</v>
      </c>
      <c r="E317">
        <f t="shared" ca="1" si="14"/>
        <v>0.02</v>
      </c>
    </row>
    <row r="318" spans="1:5" x14ac:dyDescent="0.25">
      <c r="A318">
        <v>317</v>
      </c>
      <c r="B318">
        <f t="shared" ca="1" si="12"/>
        <v>1</v>
      </c>
      <c r="C318">
        <f t="shared" ca="1" si="13"/>
        <v>2</v>
      </c>
      <c r="D318">
        <v>0.01</v>
      </c>
      <c r="E318">
        <f t="shared" ca="1" si="14"/>
        <v>0.02</v>
      </c>
    </row>
    <row r="319" spans="1:5" x14ac:dyDescent="0.25">
      <c r="A319">
        <v>318</v>
      </c>
      <c r="B319">
        <f t="shared" ca="1" si="12"/>
        <v>1</v>
      </c>
      <c r="C319">
        <f t="shared" ca="1" si="13"/>
        <v>2</v>
      </c>
      <c r="D319">
        <v>0.01</v>
      </c>
      <c r="E319">
        <f t="shared" ca="1" si="14"/>
        <v>0.02</v>
      </c>
    </row>
    <row r="320" spans="1:5" x14ac:dyDescent="0.25">
      <c r="A320">
        <v>319</v>
      </c>
      <c r="B320">
        <f t="shared" ca="1" si="12"/>
        <v>-1</v>
      </c>
      <c r="C320">
        <f t="shared" ca="1" si="13"/>
        <v>-1</v>
      </c>
      <c r="D320">
        <v>0.01</v>
      </c>
      <c r="E320">
        <f t="shared" ca="1" si="14"/>
        <v>0.01</v>
      </c>
    </row>
    <row r="321" spans="1:5" x14ac:dyDescent="0.25">
      <c r="A321">
        <v>320</v>
      </c>
      <c r="B321">
        <f t="shared" ca="1" si="12"/>
        <v>-1</v>
      </c>
      <c r="C321">
        <f t="shared" ca="1" si="13"/>
        <v>-1</v>
      </c>
      <c r="D321">
        <v>0.01</v>
      </c>
      <c r="E321">
        <f t="shared" ca="1" si="14"/>
        <v>0.01</v>
      </c>
    </row>
    <row r="322" spans="1:5" x14ac:dyDescent="0.25">
      <c r="A322">
        <v>321</v>
      </c>
      <c r="B322">
        <f t="shared" ref="B322:B385" ca="1" si="15">IF(RAND()&lt;0.55,1,-1)</f>
        <v>-1</v>
      </c>
      <c r="C322">
        <f t="shared" ref="C322:C385" ca="1" si="16">IF(B322=1,2,-1)</f>
        <v>-1</v>
      </c>
      <c r="D322">
        <v>0.01</v>
      </c>
      <c r="E322">
        <f t="shared" ref="E322:E385" ca="1" si="17">B322*C322*D322</f>
        <v>0.01</v>
      </c>
    </row>
    <row r="323" spans="1:5" x14ac:dyDescent="0.25">
      <c r="A323">
        <v>322</v>
      </c>
      <c r="B323">
        <f t="shared" ca="1" si="15"/>
        <v>-1</v>
      </c>
      <c r="C323">
        <f t="shared" ca="1" si="16"/>
        <v>-1</v>
      </c>
      <c r="D323">
        <v>0.01</v>
      </c>
      <c r="E323">
        <f t="shared" ca="1" si="17"/>
        <v>0.01</v>
      </c>
    </row>
    <row r="324" spans="1:5" x14ac:dyDescent="0.25">
      <c r="A324">
        <v>323</v>
      </c>
      <c r="B324">
        <f t="shared" ca="1" si="15"/>
        <v>1</v>
      </c>
      <c r="C324">
        <f t="shared" ca="1" si="16"/>
        <v>2</v>
      </c>
      <c r="D324">
        <v>0.01</v>
      </c>
      <c r="E324">
        <f t="shared" ca="1" si="17"/>
        <v>0.02</v>
      </c>
    </row>
    <row r="325" spans="1:5" x14ac:dyDescent="0.25">
      <c r="A325">
        <v>324</v>
      </c>
      <c r="B325">
        <f t="shared" ca="1" si="15"/>
        <v>1</v>
      </c>
      <c r="C325">
        <f t="shared" ca="1" si="16"/>
        <v>2</v>
      </c>
      <c r="D325">
        <v>0.01</v>
      </c>
      <c r="E325">
        <f t="shared" ca="1" si="17"/>
        <v>0.02</v>
      </c>
    </row>
    <row r="326" spans="1:5" x14ac:dyDescent="0.25">
      <c r="A326">
        <v>325</v>
      </c>
      <c r="B326">
        <f t="shared" ca="1" si="15"/>
        <v>1</v>
      </c>
      <c r="C326">
        <f t="shared" ca="1" si="16"/>
        <v>2</v>
      </c>
      <c r="D326">
        <v>0.01</v>
      </c>
      <c r="E326">
        <f t="shared" ca="1" si="17"/>
        <v>0.02</v>
      </c>
    </row>
    <row r="327" spans="1:5" x14ac:dyDescent="0.25">
      <c r="A327">
        <v>326</v>
      </c>
      <c r="B327">
        <f t="shared" ca="1" si="15"/>
        <v>1</v>
      </c>
      <c r="C327">
        <f t="shared" ca="1" si="16"/>
        <v>2</v>
      </c>
      <c r="D327">
        <v>0.01</v>
      </c>
      <c r="E327">
        <f t="shared" ca="1" si="17"/>
        <v>0.02</v>
      </c>
    </row>
    <row r="328" spans="1:5" x14ac:dyDescent="0.25">
      <c r="A328">
        <v>327</v>
      </c>
      <c r="B328">
        <f t="shared" ca="1" si="15"/>
        <v>1</v>
      </c>
      <c r="C328">
        <f t="shared" ca="1" si="16"/>
        <v>2</v>
      </c>
      <c r="D328">
        <v>0.01</v>
      </c>
      <c r="E328">
        <f t="shared" ca="1" si="17"/>
        <v>0.02</v>
      </c>
    </row>
    <row r="329" spans="1:5" x14ac:dyDescent="0.25">
      <c r="A329">
        <v>328</v>
      </c>
      <c r="B329">
        <f t="shared" ca="1" si="15"/>
        <v>1</v>
      </c>
      <c r="C329">
        <f t="shared" ca="1" si="16"/>
        <v>2</v>
      </c>
      <c r="D329">
        <v>0.01</v>
      </c>
      <c r="E329">
        <f t="shared" ca="1" si="17"/>
        <v>0.02</v>
      </c>
    </row>
    <row r="330" spans="1:5" x14ac:dyDescent="0.25">
      <c r="A330">
        <v>329</v>
      </c>
      <c r="B330">
        <f t="shared" ca="1" si="15"/>
        <v>-1</v>
      </c>
      <c r="C330">
        <f t="shared" ca="1" si="16"/>
        <v>-1</v>
      </c>
      <c r="D330">
        <v>0.01</v>
      </c>
      <c r="E330">
        <f t="shared" ca="1" si="17"/>
        <v>0.01</v>
      </c>
    </row>
    <row r="331" spans="1:5" x14ac:dyDescent="0.25">
      <c r="A331">
        <v>330</v>
      </c>
      <c r="B331">
        <f t="shared" ca="1" si="15"/>
        <v>-1</v>
      </c>
      <c r="C331">
        <f t="shared" ca="1" si="16"/>
        <v>-1</v>
      </c>
      <c r="D331">
        <v>0.01</v>
      </c>
      <c r="E331">
        <f t="shared" ca="1" si="17"/>
        <v>0.01</v>
      </c>
    </row>
    <row r="332" spans="1:5" x14ac:dyDescent="0.25">
      <c r="A332">
        <v>331</v>
      </c>
      <c r="B332">
        <f t="shared" ca="1" si="15"/>
        <v>-1</v>
      </c>
      <c r="C332">
        <f t="shared" ca="1" si="16"/>
        <v>-1</v>
      </c>
      <c r="D332">
        <v>0.01</v>
      </c>
      <c r="E332">
        <f t="shared" ca="1" si="17"/>
        <v>0.01</v>
      </c>
    </row>
    <row r="333" spans="1:5" x14ac:dyDescent="0.25">
      <c r="A333">
        <v>332</v>
      </c>
      <c r="B333">
        <f t="shared" ca="1" si="15"/>
        <v>-1</v>
      </c>
      <c r="C333">
        <f t="shared" ca="1" si="16"/>
        <v>-1</v>
      </c>
      <c r="D333">
        <v>0.01</v>
      </c>
      <c r="E333">
        <f t="shared" ca="1" si="17"/>
        <v>0.01</v>
      </c>
    </row>
    <row r="334" spans="1:5" x14ac:dyDescent="0.25">
      <c r="A334">
        <v>333</v>
      </c>
      <c r="B334">
        <f t="shared" ca="1" si="15"/>
        <v>1</v>
      </c>
      <c r="C334">
        <f t="shared" ca="1" si="16"/>
        <v>2</v>
      </c>
      <c r="D334">
        <v>0.01</v>
      </c>
      <c r="E334">
        <f t="shared" ca="1" si="17"/>
        <v>0.02</v>
      </c>
    </row>
    <row r="335" spans="1:5" x14ac:dyDescent="0.25">
      <c r="A335">
        <v>334</v>
      </c>
      <c r="B335">
        <f t="shared" ca="1" si="15"/>
        <v>1</v>
      </c>
      <c r="C335">
        <f t="shared" ca="1" si="16"/>
        <v>2</v>
      </c>
      <c r="D335">
        <v>0.01</v>
      </c>
      <c r="E335">
        <f t="shared" ca="1" si="17"/>
        <v>0.02</v>
      </c>
    </row>
    <row r="336" spans="1:5" x14ac:dyDescent="0.25">
      <c r="A336">
        <v>335</v>
      </c>
      <c r="B336">
        <f t="shared" ca="1" si="15"/>
        <v>1</v>
      </c>
      <c r="C336">
        <f t="shared" ca="1" si="16"/>
        <v>2</v>
      </c>
      <c r="D336">
        <v>0.01</v>
      </c>
      <c r="E336">
        <f t="shared" ca="1" si="17"/>
        <v>0.02</v>
      </c>
    </row>
    <row r="337" spans="1:5" x14ac:dyDescent="0.25">
      <c r="A337">
        <v>336</v>
      </c>
      <c r="B337">
        <f t="shared" ca="1" si="15"/>
        <v>1</v>
      </c>
      <c r="C337">
        <f t="shared" ca="1" si="16"/>
        <v>2</v>
      </c>
      <c r="D337">
        <v>0.01</v>
      </c>
      <c r="E337">
        <f t="shared" ca="1" si="17"/>
        <v>0.02</v>
      </c>
    </row>
    <row r="338" spans="1:5" x14ac:dyDescent="0.25">
      <c r="A338">
        <v>337</v>
      </c>
      <c r="B338">
        <f t="shared" ca="1" si="15"/>
        <v>-1</v>
      </c>
      <c r="C338">
        <f t="shared" ca="1" si="16"/>
        <v>-1</v>
      </c>
      <c r="D338">
        <v>0.01</v>
      </c>
      <c r="E338">
        <f t="shared" ca="1" si="17"/>
        <v>0.01</v>
      </c>
    </row>
    <row r="339" spans="1:5" x14ac:dyDescent="0.25">
      <c r="A339">
        <v>338</v>
      </c>
      <c r="B339">
        <f t="shared" ca="1" si="15"/>
        <v>-1</v>
      </c>
      <c r="C339">
        <f t="shared" ca="1" si="16"/>
        <v>-1</v>
      </c>
      <c r="D339">
        <v>0.01</v>
      </c>
      <c r="E339">
        <f t="shared" ca="1" si="17"/>
        <v>0.01</v>
      </c>
    </row>
    <row r="340" spans="1:5" x14ac:dyDescent="0.25">
      <c r="A340">
        <v>339</v>
      </c>
      <c r="B340">
        <f t="shared" ca="1" si="15"/>
        <v>1</v>
      </c>
      <c r="C340">
        <f t="shared" ca="1" si="16"/>
        <v>2</v>
      </c>
      <c r="D340">
        <v>0.01</v>
      </c>
      <c r="E340">
        <f t="shared" ca="1" si="17"/>
        <v>0.02</v>
      </c>
    </row>
    <row r="341" spans="1:5" x14ac:dyDescent="0.25">
      <c r="A341">
        <v>340</v>
      </c>
      <c r="B341">
        <f t="shared" ca="1" si="15"/>
        <v>-1</v>
      </c>
      <c r="C341">
        <f t="shared" ca="1" si="16"/>
        <v>-1</v>
      </c>
      <c r="D341">
        <v>0.01</v>
      </c>
      <c r="E341">
        <f t="shared" ca="1" si="17"/>
        <v>0.01</v>
      </c>
    </row>
    <row r="342" spans="1:5" x14ac:dyDescent="0.25">
      <c r="A342">
        <v>341</v>
      </c>
      <c r="B342">
        <f t="shared" ca="1" si="15"/>
        <v>-1</v>
      </c>
      <c r="C342">
        <f t="shared" ca="1" si="16"/>
        <v>-1</v>
      </c>
      <c r="D342">
        <v>0.01</v>
      </c>
      <c r="E342">
        <f t="shared" ca="1" si="17"/>
        <v>0.01</v>
      </c>
    </row>
    <row r="343" spans="1:5" x14ac:dyDescent="0.25">
      <c r="A343">
        <v>342</v>
      </c>
      <c r="B343">
        <f t="shared" ca="1" si="15"/>
        <v>-1</v>
      </c>
      <c r="C343">
        <f t="shared" ca="1" si="16"/>
        <v>-1</v>
      </c>
      <c r="D343">
        <v>0.01</v>
      </c>
      <c r="E343">
        <f t="shared" ca="1" si="17"/>
        <v>0.01</v>
      </c>
    </row>
    <row r="344" spans="1:5" x14ac:dyDescent="0.25">
      <c r="A344">
        <v>343</v>
      </c>
      <c r="B344">
        <f t="shared" ca="1" si="15"/>
        <v>1</v>
      </c>
      <c r="C344">
        <f t="shared" ca="1" si="16"/>
        <v>2</v>
      </c>
      <c r="D344">
        <v>0.01</v>
      </c>
      <c r="E344">
        <f t="shared" ca="1" si="17"/>
        <v>0.02</v>
      </c>
    </row>
    <row r="345" spans="1:5" x14ac:dyDescent="0.25">
      <c r="A345">
        <v>344</v>
      </c>
      <c r="B345">
        <f t="shared" ca="1" si="15"/>
        <v>1</v>
      </c>
      <c r="C345">
        <f t="shared" ca="1" si="16"/>
        <v>2</v>
      </c>
      <c r="D345">
        <v>0.01</v>
      </c>
      <c r="E345">
        <f t="shared" ca="1" si="17"/>
        <v>0.02</v>
      </c>
    </row>
    <row r="346" spans="1:5" x14ac:dyDescent="0.25">
      <c r="A346">
        <v>345</v>
      </c>
      <c r="B346">
        <f t="shared" ca="1" si="15"/>
        <v>-1</v>
      </c>
      <c r="C346">
        <f t="shared" ca="1" si="16"/>
        <v>-1</v>
      </c>
      <c r="D346">
        <v>0.01</v>
      </c>
      <c r="E346">
        <f t="shared" ca="1" si="17"/>
        <v>0.01</v>
      </c>
    </row>
    <row r="347" spans="1:5" x14ac:dyDescent="0.25">
      <c r="A347">
        <v>346</v>
      </c>
      <c r="B347">
        <f t="shared" ca="1" si="15"/>
        <v>-1</v>
      </c>
      <c r="C347">
        <f t="shared" ca="1" si="16"/>
        <v>-1</v>
      </c>
      <c r="D347">
        <v>0.01</v>
      </c>
      <c r="E347">
        <f t="shared" ca="1" si="17"/>
        <v>0.01</v>
      </c>
    </row>
    <row r="348" spans="1:5" x14ac:dyDescent="0.25">
      <c r="A348">
        <v>347</v>
      </c>
      <c r="B348">
        <f t="shared" ca="1" si="15"/>
        <v>1</v>
      </c>
      <c r="C348">
        <f t="shared" ca="1" si="16"/>
        <v>2</v>
      </c>
      <c r="D348">
        <v>0.01</v>
      </c>
      <c r="E348">
        <f t="shared" ca="1" si="17"/>
        <v>0.02</v>
      </c>
    </row>
    <row r="349" spans="1:5" x14ac:dyDescent="0.25">
      <c r="A349">
        <v>348</v>
      </c>
      <c r="B349">
        <f t="shared" ca="1" si="15"/>
        <v>-1</v>
      </c>
      <c r="C349">
        <f t="shared" ca="1" si="16"/>
        <v>-1</v>
      </c>
      <c r="D349">
        <v>0.01</v>
      </c>
      <c r="E349">
        <f t="shared" ca="1" si="17"/>
        <v>0.01</v>
      </c>
    </row>
    <row r="350" spans="1:5" x14ac:dyDescent="0.25">
      <c r="A350">
        <v>349</v>
      </c>
      <c r="B350">
        <f t="shared" ca="1" si="15"/>
        <v>-1</v>
      </c>
      <c r="C350">
        <f t="shared" ca="1" si="16"/>
        <v>-1</v>
      </c>
      <c r="D350">
        <v>0.01</v>
      </c>
      <c r="E350">
        <f t="shared" ca="1" si="17"/>
        <v>0.01</v>
      </c>
    </row>
    <row r="351" spans="1:5" x14ac:dyDescent="0.25">
      <c r="A351">
        <v>350</v>
      </c>
      <c r="B351">
        <f t="shared" ca="1" si="15"/>
        <v>1</v>
      </c>
      <c r="C351">
        <f t="shared" ca="1" si="16"/>
        <v>2</v>
      </c>
      <c r="D351">
        <v>0.01</v>
      </c>
      <c r="E351">
        <f t="shared" ca="1" si="17"/>
        <v>0.02</v>
      </c>
    </row>
    <row r="352" spans="1:5" x14ac:dyDescent="0.25">
      <c r="A352">
        <v>351</v>
      </c>
      <c r="B352">
        <f t="shared" ca="1" si="15"/>
        <v>-1</v>
      </c>
      <c r="C352">
        <f t="shared" ca="1" si="16"/>
        <v>-1</v>
      </c>
      <c r="D352">
        <v>0.01</v>
      </c>
      <c r="E352">
        <f t="shared" ca="1" si="17"/>
        <v>0.01</v>
      </c>
    </row>
    <row r="353" spans="1:5" x14ac:dyDescent="0.25">
      <c r="A353">
        <v>352</v>
      </c>
      <c r="B353">
        <f t="shared" ca="1" si="15"/>
        <v>-1</v>
      </c>
      <c r="C353">
        <f t="shared" ca="1" si="16"/>
        <v>-1</v>
      </c>
      <c r="D353">
        <v>0.01</v>
      </c>
      <c r="E353">
        <f t="shared" ca="1" si="17"/>
        <v>0.01</v>
      </c>
    </row>
    <row r="354" spans="1:5" x14ac:dyDescent="0.25">
      <c r="A354">
        <v>353</v>
      </c>
      <c r="B354">
        <f t="shared" ca="1" si="15"/>
        <v>-1</v>
      </c>
      <c r="C354">
        <f t="shared" ca="1" si="16"/>
        <v>-1</v>
      </c>
      <c r="D354">
        <v>0.01</v>
      </c>
      <c r="E354">
        <f t="shared" ca="1" si="17"/>
        <v>0.01</v>
      </c>
    </row>
    <row r="355" spans="1:5" x14ac:dyDescent="0.25">
      <c r="A355">
        <v>354</v>
      </c>
      <c r="B355">
        <f t="shared" ca="1" si="15"/>
        <v>-1</v>
      </c>
      <c r="C355">
        <f t="shared" ca="1" si="16"/>
        <v>-1</v>
      </c>
      <c r="D355">
        <v>0.01</v>
      </c>
      <c r="E355">
        <f t="shared" ca="1" si="17"/>
        <v>0.01</v>
      </c>
    </row>
    <row r="356" spans="1:5" x14ac:dyDescent="0.25">
      <c r="A356">
        <v>355</v>
      </c>
      <c r="B356">
        <f t="shared" ca="1" si="15"/>
        <v>1</v>
      </c>
      <c r="C356">
        <f t="shared" ca="1" si="16"/>
        <v>2</v>
      </c>
      <c r="D356">
        <v>0.01</v>
      </c>
      <c r="E356">
        <f t="shared" ca="1" si="17"/>
        <v>0.02</v>
      </c>
    </row>
    <row r="357" spans="1:5" x14ac:dyDescent="0.25">
      <c r="A357">
        <v>356</v>
      </c>
      <c r="B357">
        <f t="shared" ca="1" si="15"/>
        <v>1</v>
      </c>
      <c r="C357">
        <f t="shared" ca="1" si="16"/>
        <v>2</v>
      </c>
      <c r="D357">
        <v>0.01</v>
      </c>
      <c r="E357">
        <f t="shared" ca="1" si="17"/>
        <v>0.02</v>
      </c>
    </row>
    <row r="358" spans="1:5" x14ac:dyDescent="0.25">
      <c r="A358">
        <v>357</v>
      </c>
      <c r="B358">
        <f t="shared" ca="1" si="15"/>
        <v>-1</v>
      </c>
      <c r="C358">
        <f t="shared" ca="1" si="16"/>
        <v>-1</v>
      </c>
      <c r="D358">
        <v>0.01</v>
      </c>
      <c r="E358">
        <f t="shared" ca="1" si="17"/>
        <v>0.01</v>
      </c>
    </row>
    <row r="359" spans="1:5" x14ac:dyDescent="0.25">
      <c r="A359">
        <v>358</v>
      </c>
      <c r="B359">
        <f t="shared" ca="1" si="15"/>
        <v>1</v>
      </c>
      <c r="C359">
        <f t="shared" ca="1" si="16"/>
        <v>2</v>
      </c>
      <c r="D359">
        <v>0.01</v>
      </c>
      <c r="E359">
        <f t="shared" ca="1" si="17"/>
        <v>0.02</v>
      </c>
    </row>
    <row r="360" spans="1:5" x14ac:dyDescent="0.25">
      <c r="A360">
        <v>359</v>
      </c>
      <c r="B360">
        <f t="shared" ca="1" si="15"/>
        <v>1</v>
      </c>
      <c r="C360">
        <f t="shared" ca="1" si="16"/>
        <v>2</v>
      </c>
      <c r="D360">
        <v>0.01</v>
      </c>
      <c r="E360">
        <f t="shared" ca="1" si="17"/>
        <v>0.02</v>
      </c>
    </row>
    <row r="361" spans="1:5" x14ac:dyDescent="0.25">
      <c r="A361">
        <v>360</v>
      </c>
      <c r="B361">
        <f t="shared" ca="1" si="15"/>
        <v>1</v>
      </c>
      <c r="C361">
        <f t="shared" ca="1" si="16"/>
        <v>2</v>
      </c>
      <c r="D361">
        <v>0.01</v>
      </c>
      <c r="E361">
        <f t="shared" ca="1" si="17"/>
        <v>0.02</v>
      </c>
    </row>
    <row r="362" spans="1:5" x14ac:dyDescent="0.25">
      <c r="A362">
        <v>361</v>
      </c>
      <c r="B362">
        <f t="shared" ca="1" si="15"/>
        <v>1</v>
      </c>
      <c r="C362">
        <f t="shared" ca="1" si="16"/>
        <v>2</v>
      </c>
      <c r="D362">
        <v>0.01</v>
      </c>
      <c r="E362">
        <f t="shared" ca="1" si="17"/>
        <v>0.02</v>
      </c>
    </row>
    <row r="363" spans="1:5" x14ac:dyDescent="0.25">
      <c r="A363">
        <v>362</v>
      </c>
      <c r="B363">
        <f t="shared" ca="1" si="15"/>
        <v>-1</v>
      </c>
      <c r="C363">
        <f t="shared" ca="1" si="16"/>
        <v>-1</v>
      </c>
      <c r="D363">
        <v>0.01</v>
      </c>
      <c r="E363">
        <f t="shared" ca="1" si="17"/>
        <v>0.01</v>
      </c>
    </row>
    <row r="364" spans="1:5" x14ac:dyDescent="0.25">
      <c r="A364">
        <v>363</v>
      </c>
      <c r="B364">
        <f t="shared" ca="1" si="15"/>
        <v>-1</v>
      </c>
      <c r="C364">
        <f t="shared" ca="1" si="16"/>
        <v>-1</v>
      </c>
      <c r="D364">
        <v>0.01</v>
      </c>
      <c r="E364">
        <f t="shared" ca="1" si="17"/>
        <v>0.01</v>
      </c>
    </row>
    <row r="365" spans="1:5" x14ac:dyDescent="0.25">
      <c r="A365">
        <v>364</v>
      </c>
      <c r="B365">
        <f t="shared" ca="1" si="15"/>
        <v>-1</v>
      </c>
      <c r="C365">
        <f t="shared" ca="1" si="16"/>
        <v>-1</v>
      </c>
      <c r="D365">
        <v>0.01</v>
      </c>
      <c r="E365">
        <f t="shared" ca="1" si="17"/>
        <v>0.01</v>
      </c>
    </row>
    <row r="366" spans="1:5" x14ac:dyDescent="0.25">
      <c r="A366">
        <v>365</v>
      </c>
      <c r="B366">
        <f t="shared" ca="1" si="15"/>
        <v>1</v>
      </c>
      <c r="C366">
        <f t="shared" ca="1" si="16"/>
        <v>2</v>
      </c>
      <c r="D366">
        <v>0.01</v>
      </c>
      <c r="E366">
        <f t="shared" ca="1" si="17"/>
        <v>0.02</v>
      </c>
    </row>
    <row r="367" spans="1:5" x14ac:dyDescent="0.25">
      <c r="A367">
        <v>366</v>
      </c>
      <c r="B367">
        <f t="shared" ca="1" si="15"/>
        <v>1</v>
      </c>
      <c r="C367">
        <f t="shared" ca="1" si="16"/>
        <v>2</v>
      </c>
      <c r="D367">
        <v>0.01</v>
      </c>
      <c r="E367">
        <f t="shared" ca="1" si="17"/>
        <v>0.02</v>
      </c>
    </row>
    <row r="368" spans="1:5" x14ac:dyDescent="0.25">
      <c r="A368">
        <v>367</v>
      </c>
      <c r="B368">
        <f t="shared" ca="1" si="15"/>
        <v>1</v>
      </c>
      <c r="C368">
        <f t="shared" ca="1" si="16"/>
        <v>2</v>
      </c>
      <c r="D368">
        <v>0.01</v>
      </c>
      <c r="E368">
        <f t="shared" ca="1" si="17"/>
        <v>0.02</v>
      </c>
    </row>
    <row r="369" spans="1:5" x14ac:dyDescent="0.25">
      <c r="A369">
        <v>368</v>
      </c>
      <c r="B369">
        <f t="shared" ca="1" si="15"/>
        <v>-1</v>
      </c>
      <c r="C369">
        <f t="shared" ca="1" si="16"/>
        <v>-1</v>
      </c>
      <c r="D369">
        <v>0.01</v>
      </c>
      <c r="E369">
        <f t="shared" ca="1" si="17"/>
        <v>0.01</v>
      </c>
    </row>
    <row r="370" spans="1:5" x14ac:dyDescent="0.25">
      <c r="A370">
        <v>369</v>
      </c>
      <c r="B370">
        <f t="shared" ca="1" si="15"/>
        <v>-1</v>
      </c>
      <c r="C370">
        <f t="shared" ca="1" si="16"/>
        <v>-1</v>
      </c>
      <c r="D370">
        <v>0.01</v>
      </c>
      <c r="E370">
        <f t="shared" ca="1" si="17"/>
        <v>0.01</v>
      </c>
    </row>
    <row r="371" spans="1:5" x14ac:dyDescent="0.25">
      <c r="A371">
        <v>370</v>
      </c>
      <c r="B371">
        <f t="shared" ca="1" si="15"/>
        <v>-1</v>
      </c>
      <c r="C371">
        <f t="shared" ca="1" si="16"/>
        <v>-1</v>
      </c>
      <c r="D371">
        <v>0.01</v>
      </c>
      <c r="E371">
        <f t="shared" ca="1" si="17"/>
        <v>0.01</v>
      </c>
    </row>
    <row r="372" spans="1:5" x14ac:dyDescent="0.25">
      <c r="A372">
        <v>371</v>
      </c>
      <c r="B372">
        <f t="shared" ca="1" si="15"/>
        <v>1</v>
      </c>
      <c r="C372">
        <f t="shared" ca="1" si="16"/>
        <v>2</v>
      </c>
      <c r="D372">
        <v>0.01</v>
      </c>
      <c r="E372">
        <f t="shared" ca="1" si="17"/>
        <v>0.02</v>
      </c>
    </row>
    <row r="373" spans="1:5" x14ac:dyDescent="0.25">
      <c r="A373">
        <v>372</v>
      </c>
      <c r="B373">
        <f t="shared" ca="1" si="15"/>
        <v>1</v>
      </c>
      <c r="C373">
        <f t="shared" ca="1" si="16"/>
        <v>2</v>
      </c>
      <c r="D373">
        <v>0.01</v>
      </c>
      <c r="E373">
        <f t="shared" ca="1" si="17"/>
        <v>0.02</v>
      </c>
    </row>
    <row r="374" spans="1:5" x14ac:dyDescent="0.25">
      <c r="A374">
        <v>373</v>
      </c>
      <c r="B374">
        <f t="shared" ca="1" si="15"/>
        <v>1</v>
      </c>
      <c r="C374">
        <f t="shared" ca="1" si="16"/>
        <v>2</v>
      </c>
      <c r="D374">
        <v>0.01</v>
      </c>
      <c r="E374">
        <f t="shared" ca="1" si="17"/>
        <v>0.02</v>
      </c>
    </row>
    <row r="375" spans="1:5" x14ac:dyDescent="0.25">
      <c r="A375">
        <v>374</v>
      </c>
      <c r="B375">
        <f t="shared" ca="1" si="15"/>
        <v>-1</v>
      </c>
      <c r="C375">
        <f t="shared" ca="1" si="16"/>
        <v>-1</v>
      </c>
      <c r="D375">
        <v>0.01</v>
      </c>
      <c r="E375">
        <f t="shared" ca="1" si="17"/>
        <v>0.01</v>
      </c>
    </row>
    <row r="376" spans="1:5" x14ac:dyDescent="0.25">
      <c r="A376">
        <v>375</v>
      </c>
      <c r="B376">
        <f t="shared" ca="1" si="15"/>
        <v>-1</v>
      </c>
      <c r="C376">
        <f t="shared" ca="1" si="16"/>
        <v>-1</v>
      </c>
      <c r="D376">
        <v>0.01</v>
      </c>
      <c r="E376">
        <f t="shared" ca="1" si="17"/>
        <v>0.01</v>
      </c>
    </row>
    <row r="377" spans="1:5" x14ac:dyDescent="0.25">
      <c r="A377">
        <v>376</v>
      </c>
      <c r="B377">
        <f t="shared" ca="1" si="15"/>
        <v>1</v>
      </c>
      <c r="C377">
        <f t="shared" ca="1" si="16"/>
        <v>2</v>
      </c>
      <c r="D377">
        <v>0.01</v>
      </c>
      <c r="E377">
        <f t="shared" ca="1" si="17"/>
        <v>0.02</v>
      </c>
    </row>
    <row r="378" spans="1:5" x14ac:dyDescent="0.25">
      <c r="A378">
        <v>377</v>
      </c>
      <c r="B378">
        <f t="shared" ca="1" si="15"/>
        <v>-1</v>
      </c>
      <c r="C378">
        <f t="shared" ca="1" si="16"/>
        <v>-1</v>
      </c>
      <c r="D378">
        <v>0.01</v>
      </c>
      <c r="E378">
        <f t="shared" ca="1" si="17"/>
        <v>0.01</v>
      </c>
    </row>
    <row r="379" spans="1:5" x14ac:dyDescent="0.25">
      <c r="A379">
        <v>378</v>
      </c>
      <c r="B379">
        <f t="shared" ca="1" si="15"/>
        <v>-1</v>
      </c>
      <c r="C379">
        <f t="shared" ca="1" si="16"/>
        <v>-1</v>
      </c>
      <c r="D379">
        <v>0.01</v>
      </c>
      <c r="E379">
        <f t="shared" ca="1" si="17"/>
        <v>0.01</v>
      </c>
    </row>
    <row r="380" spans="1:5" x14ac:dyDescent="0.25">
      <c r="A380">
        <v>379</v>
      </c>
      <c r="B380">
        <f t="shared" ca="1" si="15"/>
        <v>1</v>
      </c>
      <c r="C380">
        <f t="shared" ca="1" si="16"/>
        <v>2</v>
      </c>
      <c r="D380">
        <v>0.01</v>
      </c>
      <c r="E380">
        <f t="shared" ca="1" si="17"/>
        <v>0.02</v>
      </c>
    </row>
    <row r="381" spans="1:5" x14ac:dyDescent="0.25">
      <c r="A381">
        <v>380</v>
      </c>
      <c r="B381">
        <f t="shared" ca="1" si="15"/>
        <v>1</v>
      </c>
      <c r="C381">
        <f t="shared" ca="1" si="16"/>
        <v>2</v>
      </c>
      <c r="D381">
        <v>0.01</v>
      </c>
      <c r="E381">
        <f t="shared" ca="1" si="17"/>
        <v>0.02</v>
      </c>
    </row>
    <row r="382" spans="1:5" x14ac:dyDescent="0.25">
      <c r="A382">
        <v>381</v>
      </c>
      <c r="B382">
        <f t="shared" ca="1" si="15"/>
        <v>1</v>
      </c>
      <c r="C382">
        <f t="shared" ca="1" si="16"/>
        <v>2</v>
      </c>
      <c r="D382">
        <v>0.01</v>
      </c>
      <c r="E382">
        <f t="shared" ca="1" si="17"/>
        <v>0.02</v>
      </c>
    </row>
    <row r="383" spans="1:5" x14ac:dyDescent="0.25">
      <c r="A383">
        <v>382</v>
      </c>
      <c r="B383">
        <f t="shared" ca="1" si="15"/>
        <v>1</v>
      </c>
      <c r="C383">
        <f t="shared" ca="1" si="16"/>
        <v>2</v>
      </c>
      <c r="D383">
        <v>0.01</v>
      </c>
      <c r="E383">
        <f t="shared" ca="1" si="17"/>
        <v>0.02</v>
      </c>
    </row>
    <row r="384" spans="1:5" x14ac:dyDescent="0.25">
      <c r="A384">
        <v>383</v>
      </c>
      <c r="B384">
        <f t="shared" ca="1" si="15"/>
        <v>-1</v>
      </c>
      <c r="C384">
        <f t="shared" ca="1" si="16"/>
        <v>-1</v>
      </c>
      <c r="D384">
        <v>0.01</v>
      </c>
      <c r="E384">
        <f t="shared" ca="1" si="17"/>
        <v>0.01</v>
      </c>
    </row>
    <row r="385" spans="1:5" x14ac:dyDescent="0.25">
      <c r="A385">
        <v>384</v>
      </c>
      <c r="B385">
        <f t="shared" ca="1" si="15"/>
        <v>-1</v>
      </c>
      <c r="C385">
        <f t="shared" ca="1" si="16"/>
        <v>-1</v>
      </c>
      <c r="D385">
        <v>0.01</v>
      </c>
      <c r="E385">
        <f t="shared" ca="1" si="17"/>
        <v>0.01</v>
      </c>
    </row>
    <row r="386" spans="1:5" x14ac:dyDescent="0.25">
      <c r="A386">
        <v>385</v>
      </c>
      <c r="B386">
        <f t="shared" ref="B386:B449" ca="1" si="18">IF(RAND()&lt;0.55,1,-1)</f>
        <v>-1</v>
      </c>
      <c r="C386">
        <f t="shared" ref="C386:C449" ca="1" si="19">IF(B386=1,2,-1)</f>
        <v>-1</v>
      </c>
      <c r="D386">
        <v>0.01</v>
      </c>
      <c r="E386">
        <f t="shared" ref="E386:E449" ca="1" si="20">B386*C386*D386</f>
        <v>0.01</v>
      </c>
    </row>
    <row r="387" spans="1:5" x14ac:dyDescent="0.25">
      <c r="A387">
        <v>386</v>
      </c>
      <c r="B387">
        <f t="shared" ca="1" si="18"/>
        <v>1</v>
      </c>
      <c r="C387">
        <f t="shared" ca="1" si="19"/>
        <v>2</v>
      </c>
      <c r="D387">
        <v>0.01</v>
      </c>
      <c r="E387">
        <f t="shared" ca="1" si="20"/>
        <v>0.02</v>
      </c>
    </row>
    <row r="388" spans="1:5" x14ac:dyDescent="0.25">
      <c r="A388">
        <v>387</v>
      </c>
      <c r="B388">
        <f t="shared" ca="1" si="18"/>
        <v>1</v>
      </c>
      <c r="C388">
        <f t="shared" ca="1" si="19"/>
        <v>2</v>
      </c>
      <c r="D388">
        <v>0.01</v>
      </c>
      <c r="E388">
        <f t="shared" ca="1" si="20"/>
        <v>0.02</v>
      </c>
    </row>
    <row r="389" spans="1:5" x14ac:dyDescent="0.25">
      <c r="A389">
        <v>388</v>
      </c>
      <c r="B389">
        <f t="shared" ca="1" si="18"/>
        <v>-1</v>
      </c>
      <c r="C389">
        <f t="shared" ca="1" si="19"/>
        <v>-1</v>
      </c>
      <c r="D389">
        <v>0.01</v>
      </c>
      <c r="E389">
        <f t="shared" ca="1" si="20"/>
        <v>0.01</v>
      </c>
    </row>
    <row r="390" spans="1:5" x14ac:dyDescent="0.25">
      <c r="A390">
        <v>389</v>
      </c>
      <c r="B390">
        <f t="shared" ca="1" si="18"/>
        <v>-1</v>
      </c>
      <c r="C390">
        <f t="shared" ca="1" si="19"/>
        <v>-1</v>
      </c>
      <c r="D390">
        <v>0.01</v>
      </c>
      <c r="E390">
        <f t="shared" ca="1" si="20"/>
        <v>0.01</v>
      </c>
    </row>
    <row r="391" spans="1:5" x14ac:dyDescent="0.25">
      <c r="A391">
        <v>390</v>
      </c>
      <c r="B391">
        <f t="shared" ca="1" si="18"/>
        <v>1</v>
      </c>
      <c r="C391">
        <f t="shared" ca="1" si="19"/>
        <v>2</v>
      </c>
      <c r="D391">
        <v>0.01</v>
      </c>
      <c r="E391">
        <f t="shared" ca="1" si="20"/>
        <v>0.02</v>
      </c>
    </row>
    <row r="392" spans="1:5" x14ac:dyDescent="0.25">
      <c r="A392">
        <v>391</v>
      </c>
      <c r="B392">
        <f t="shared" ca="1" si="18"/>
        <v>-1</v>
      </c>
      <c r="C392">
        <f t="shared" ca="1" si="19"/>
        <v>-1</v>
      </c>
      <c r="D392">
        <v>0.01</v>
      </c>
      <c r="E392">
        <f t="shared" ca="1" si="20"/>
        <v>0.01</v>
      </c>
    </row>
    <row r="393" spans="1:5" x14ac:dyDescent="0.25">
      <c r="A393">
        <v>392</v>
      </c>
      <c r="B393">
        <f t="shared" ca="1" si="18"/>
        <v>-1</v>
      </c>
      <c r="C393">
        <f t="shared" ca="1" si="19"/>
        <v>-1</v>
      </c>
      <c r="D393">
        <v>0.01</v>
      </c>
      <c r="E393">
        <f t="shared" ca="1" si="20"/>
        <v>0.01</v>
      </c>
    </row>
    <row r="394" spans="1:5" x14ac:dyDescent="0.25">
      <c r="A394">
        <v>393</v>
      </c>
      <c r="B394">
        <f t="shared" ca="1" si="18"/>
        <v>1</v>
      </c>
      <c r="C394">
        <f t="shared" ca="1" si="19"/>
        <v>2</v>
      </c>
      <c r="D394">
        <v>0.01</v>
      </c>
      <c r="E394">
        <f t="shared" ca="1" si="20"/>
        <v>0.02</v>
      </c>
    </row>
    <row r="395" spans="1:5" x14ac:dyDescent="0.25">
      <c r="A395">
        <v>394</v>
      </c>
      <c r="B395">
        <f t="shared" ca="1" si="18"/>
        <v>1</v>
      </c>
      <c r="C395">
        <f t="shared" ca="1" si="19"/>
        <v>2</v>
      </c>
      <c r="D395">
        <v>0.01</v>
      </c>
      <c r="E395">
        <f t="shared" ca="1" si="20"/>
        <v>0.02</v>
      </c>
    </row>
    <row r="396" spans="1:5" x14ac:dyDescent="0.25">
      <c r="A396">
        <v>395</v>
      </c>
      <c r="B396">
        <f t="shared" ca="1" si="18"/>
        <v>1</v>
      </c>
      <c r="C396">
        <f t="shared" ca="1" si="19"/>
        <v>2</v>
      </c>
      <c r="D396">
        <v>0.01</v>
      </c>
      <c r="E396">
        <f t="shared" ca="1" si="20"/>
        <v>0.02</v>
      </c>
    </row>
    <row r="397" spans="1:5" x14ac:dyDescent="0.25">
      <c r="A397">
        <v>396</v>
      </c>
      <c r="B397">
        <f t="shared" ca="1" si="18"/>
        <v>1</v>
      </c>
      <c r="C397">
        <f t="shared" ca="1" si="19"/>
        <v>2</v>
      </c>
      <c r="D397">
        <v>0.01</v>
      </c>
      <c r="E397">
        <f t="shared" ca="1" si="20"/>
        <v>0.02</v>
      </c>
    </row>
    <row r="398" spans="1:5" x14ac:dyDescent="0.25">
      <c r="A398">
        <v>397</v>
      </c>
      <c r="B398">
        <f t="shared" ca="1" si="18"/>
        <v>1</v>
      </c>
      <c r="C398">
        <f t="shared" ca="1" si="19"/>
        <v>2</v>
      </c>
      <c r="D398">
        <v>0.01</v>
      </c>
      <c r="E398">
        <f t="shared" ca="1" si="20"/>
        <v>0.02</v>
      </c>
    </row>
    <row r="399" spans="1:5" x14ac:dyDescent="0.25">
      <c r="A399">
        <v>398</v>
      </c>
      <c r="B399">
        <f t="shared" ca="1" si="18"/>
        <v>-1</v>
      </c>
      <c r="C399">
        <f t="shared" ca="1" si="19"/>
        <v>-1</v>
      </c>
      <c r="D399">
        <v>0.01</v>
      </c>
      <c r="E399">
        <f t="shared" ca="1" si="20"/>
        <v>0.01</v>
      </c>
    </row>
    <row r="400" spans="1:5" x14ac:dyDescent="0.25">
      <c r="A400">
        <v>399</v>
      </c>
      <c r="B400">
        <f t="shared" ca="1" si="18"/>
        <v>-1</v>
      </c>
      <c r="C400">
        <f t="shared" ca="1" si="19"/>
        <v>-1</v>
      </c>
      <c r="D400">
        <v>0.01</v>
      </c>
      <c r="E400">
        <f t="shared" ca="1" si="20"/>
        <v>0.01</v>
      </c>
    </row>
    <row r="401" spans="1:5" x14ac:dyDescent="0.25">
      <c r="A401">
        <v>400</v>
      </c>
      <c r="B401">
        <f t="shared" ca="1" si="18"/>
        <v>-1</v>
      </c>
      <c r="C401">
        <f t="shared" ca="1" si="19"/>
        <v>-1</v>
      </c>
      <c r="D401">
        <v>0.01</v>
      </c>
      <c r="E401">
        <f t="shared" ca="1" si="20"/>
        <v>0.01</v>
      </c>
    </row>
    <row r="402" spans="1:5" x14ac:dyDescent="0.25">
      <c r="A402">
        <v>401</v>
      </c>
      <c r="B402">
        <f t="shared" ca="1" si="18"/>
        <v>-1</v>
      </c>
      <c r="C402">
        <f t="shared" ca="1" si="19"/>
        <v>-1</v>
      </c>
      <c r="D402">
        <v>0.01</v>
      </c>
      <c r="E402">
        <f t="shared" ca="1" si="20"/>
        <v>0.01</v>
      </c>
    </row>
    <row r="403" spans="1:5" x14ac:dyDescent="0.25">
      <c r="A403">
        <v>402</v>
      </c>
      <c r="B403">
        <f t="shared" ca="1" si="18"/>
        <v>-1</v>
      </c>
      <c r="C403">
        <f t="shared" ca="1" si="19"/>
        <v>-1</v>
      </c>
      <c r="D403">
        <v>0.01</v>
      </c>
      <c r="E403">
        <f t="shared" ca="1" si="20"/>
        <v>0.01</v>
      </c>
    </row>
    <row r="404" spans="1:5" x14ac:dyDescent="0.25">
      <c r="A404">
        <v>403</v>
      </c>
      <c r="B404">
        <f t="shared" ca="1" si="18"/>
        <v>-1</v>
      </c>
      <c r="C404">
        <f t="shared" ca="1" si="19"/>
        <v>-1</v>
      </c>
      <c r="D404">
        <v>0.01</v>
      </c>
      <c r="E404">
        <f t="shared" ca="1" si="20"/>
        <v>0.01</v>
      </c>
    </row>
    <row r="405" spans="1:5" x14ac:dyDescent="0.25">
      <c r="A405">
        <v>404</v>
      </c>
      <c r="B405">
        <f t="shared" ca="1" si="18"/>
        <v>-1</v>
      </c>
      <c r="C405">
        <f t="shared" ca="1" si="19"/>
        <v>-1</v>
      </c>
      <c r="D405">
        <v>0.01</v>
      </c>
      <c r="E405">
        <f t="shared" ca="1" si="20"/>
        <v>0.01</v>
      </c>
    </row>
    <row r="406" spans="1:5" x14ac:dyDescent="0.25">
      <c r="A406">
        <v>405</v>
      </c>
      <c r="B406">
        <f t="shared" ca="1" si="18"/>
        <v>-1</v>
      </c>
      <c r="C406">
        <f t="shared" ca="1" si="19"/>
        <v>-1</v>
      </c>
      <c r="D406">
        <v>0.01</v>
      </c>
      <c r="E406">
        <f t="shared" ca="1" si="20"/>
        <v>0.01</v>
      </c>
    </row>
    <row r="407" spans="1:5" x14ac:dyDescent="0.25">
      <c r="A407">
        <v>406</v>
      </c>
      <c r="B407">
        <f t="shared" ca="1" si="18"/>
        <v>1</v>
      </c>
      <c r="C407">
        <f t="shared" ca="1" si="19"/>
        <v>2</v>
      </c>
      <c r="D407">
        <v>0.01</v>
      </c>
      <c r="E407">
        <f t="shared" ca="1" si="20"/>
        <v>0.02</v>
      </c>
    </row>
    <row r="408" spans="1:5" x14ac:dyDescent="0.25">
      <c r="A408">
        <v>407</v>
      </c>
      <c r="B408">
        <f t="shared" ca="1" si="18"/>
        <v>1</v>
      </c>
      <c r="C408">
        <f t="shared" ca="1" si="19"/>
        <v>2</v>
      </c>
      <c r="D408">
        <v>0.01</v>
      </c>
      <c r="E408">
        <f t="shared" ca="1" si="20"/>
        <v>0.02</v>
      </c>
    </row>
    <row r="409" spans="1:5" x14ac:dyDescent="0.25">
      <c r="A409">
        <v>408</v>
      </c>
      <c r="B409">
        <f t="shared" ca="1" si="18"/>
        <v>1</v>
      </c>
      <c r="C409">
        <f t="shared" ca="1" si="19"/>
        <v>2</v>
      </c>
      <c r="D409">
        <v>0.01</v>
      </c>
      <c r="E409">
        <f t="shared" ca="1" si="20"/>
        <v>0.02</v>
      </c>
    </row>
    <row r="410" spans="1:5" x14ac:dyDescent="0.25">
      <c r="A410">
        <v>409</v>
      </c>
      <c r="B410">
        <f t="shared" ca="1" si="18"/>
        <v>1</v>
      </c>
      <c r="C410">
        <f t="shared" ca="1" si="19"/>
        <v>2</v>
      </c>
      <c r="D410">
        <v>0.01</v>
      </c>
      <c r="E410">
        <f t="shared" ca="1" si="20"/>
        <v>0.02</v>
      </c>
    </row>
    <row r="411" spans="1:5" x14ac:dyDescent="0.25">
      <c r="A411">
        <v>410</v>
      </c>
      <c r="B411">
        <f t="shared" ca="1" si="18"/>
        <v>1</v>
      </c>
      <c r="C411">
        <f t="shared" ca="1" si="19"/>
        <v>2</v>
      </c>
      <c r="D411">
        <v>0.01</v>
      </c>
      <c r="E411">
        <f t="shared" ca="1" si="20"/>
        <v>0.02</v>
      </c>
    </row>
    <row r="412" spans="1:5" x14ac:dyDescent="0.25">
      <c r="A412">
        <v>411</v>
      </c>
      <c r="B412">
        <f t="shared" ca="1" si="18"/>
        <v>-1</v>
      </c>
      <c r="C412">
        <f t="shared" ca="1" si="19"/>
        <v>-1</v>
      </c>
      <c r="D412">
        <v>0.01</v>
      </c>
      <c r="E412">
        <f t="shared" ca="1" si="20"/>
        <v>0.01</v>
      </c>
    </row>
    <row r="413" spans="1:5" x14ac:dyDescent="0.25">
      <c r="A413">
        <v>412</v>
      </c>
      <c r="B413">
        <f t="shared" ca="1" si="18"/>
        <v>1</v>
      </c>
      <c r="C413">
        <f t="shared" ca="1" si="19"/>
        <v>2</v>
      </c>
      <c r="D413">
        <v>0.01</v>
      </c>
      <c r="E413">
        <f t="shared" ca="1" si="20"/>
        <v>0.02</v>
      </c>
    </row>
    <row r="414" spans="1:5" x14ac:dyDescent="0.25">
      <c r="A414">
        <v>413</v>
      </c>
      <c r="B414">
        <f t="shared" ca="1" si="18"/>
        <v>-1</v>
      </c>
      <c r="C414">
        <f t="shared" ca="1" si="19"/>
        <v>-1</v>
      </c>
      <c r="D414">
        <v>0.01</v>
      </c>
      <c r="E414">
        <f t="shared" ca="1" si="20"/>
        <v>0.01</v>
      </c>
    </row>
    <row r="415" spans="1:5" x14ac:dyDescent="0.25">
      <c r="A415">
        <v>414</v>
      </c>
      <c r="B415">
        <f t="shared" ca="1" si="18"/>
        <v>1</v>
      </c>
      <c r="C415">
        <f t="shared" ca="1" si="19"/>
        <v>2</v>
      </c>
      <c r="D415">
        <v>0.01</v>
      </c>
      <c r="E415">
        <f t="shared" ca="1" si="20"/>
        <v>0.02</v>
      </c>
    </row>
    <row r="416" spans="1:5" x14ac:dyDescent="0.25">
      <c r="A416">
        <v>415</v>
      </c>
      <c r="B416">
        <f t="shared" ca="1" si="18"/>
        <v>-1</v>
      </c>
      <c r="C416">
        <f t="shared" ca="1" si="19"/>
        <v>-1</v>
      </c>
      <c r="D416">
        <v>0.01</v>
      </c>
      <c r="E416">
        <f t="shared" ca="1" si="20"/>
        <v>0.01</v>
      </c>
    </row>
    <row r="417" spans="1:5" x14ac:dyDescent="0.25">
      <c r="A417">
        <v>416</v>
      </c>
      <c r="B417">
        <f t="shared" ca="1" si="18"/>
        <v>-1</v>
      </c>
      <c r="C417">
        <f t="shared" ca="1" si="19"/>
        <v>-1</v>
      </c>
      <c r="D417">
        <v>0.01</v>
      </c>
      <c r="E417">
        <f t="shared" ca="1" si="20"/>
        <v>0.01</v>
      </c>
    </row>
    <row r="418" spans="1:5" x14ac:dyDescent="0.25">
      <c r="A418">
        <v>417</v>
      </c>
      <c r="B418">
        <f t="shared" ca="1" si="18"/>
        <v>-1</v>
      </c>
      <c r="C418">
        <f t="shared" ca="1" si="19"/>
        <v>-1</v>
      </c>
      <c r="D418">
        <v>0.01</v>
      </c>
      <c r="E418">
        <f t="shared" ca="1" si="20"/>
        <v>0.01</v>
      </c>
    </row>
    <row r="419" spans="1:5" x14ac:dyDescent="0.25">
      <c r="A419">
        <v>418</v>
      </c>
      <c r="B419">
        <f t="shared" ca="1" si="18"/>
        <v>1</v>
      </c>
      <c r="C419">
        <f t="shared" ca="1" si="19"/>
        <v>2</v>
      </c>
      <c r="D419">
        <v>0.01</v>
      </c>
      <c r="E419">
        <f t="shared" ca="1" si="20"/>
        <v>0.02</v>
      </c>
    </row>
    <row r="420" spans="1:5" x14ac:dyDescent="0.25">
      <c r="A420">
        <v>419</v>
      </c>
      <c r="B420">
        <f t="shared" ca="1" si="18"/>
        <v>1</v>
      </c>
      <c r="C420">
        <f t="shared" ca="1" si="19"/>
        <v>2</v>
      </c>
      <c r="D420">
        <v>0.01</v>
      </c>
      <c r="E420">
        <f t="shared" ca="1" si="20"/>
        <v>0.02</v>
      </c>
    </row>
    <row r="421" spans="1:5" x14ac:dyDescent="0.25">
      <c r="A421">
        <v>420</v>
      </c>
      <c r="B421">
        <f t="shared" ca="1" si="18"/>
        <v>1</v>
      </c>
      <c r="C421">
        <f t="shared" ca="1" si="19"/>
        <v>2</v>
      </c>
      <c r="D421">
        <v>0.01</v>
      </c>
      <c r="E421">
        <f t="shared" ca="1" si="20"/>
        <v>0.02</v>
      </c>
    </row>
    <row r="422" spans="1:5" x14ac:dyDescent="0.25">
      <c r="A422">
        <v>421</v>
      </c>
      <c r="B422">
        <f t="shared" ca="1" si="18"/>
        <v>1</v>
      </c>
      <c r="C422">
        <f t="shared" ca="1" si="19"/>
        <v>2</v>
      </c>
      <c r="D422">
        <v>0.01</v>
      </c>
      <c r="E422">
        <f t="shared" ca="1" si="20"/>
        <v>0.02</v>
      </c>
    </row>
    <row r="423" spans="1:5" x14ac:dyDescent="0.25">
      <c r="A423">
        <v>422</v>
      </c>
      <c r="B423">
        <f t="shared" ca="1" si="18"/>
        <v>-1</v>
      </c>
      <c r="C423">
        <f t="shared" ca="1" si="19"/>
        <v>-1</v>
      </c>
      <c r="D423">
        <v>0.01</v>
      </c>
      <c r="E423">
        <f t="shared" ca="1" si="20"/>
        <v>0.01</v>
      </c>
    </row>
    <row r="424" spans="1:5" x14ac:dyDescent="0.25">
      <c r="A424">
        <v>423</v>
      </c>
      <c r="B424">
        <f t="shared" ca="1" si="18"/>
        <v>1</v>
      </c>
      <c r="C424">
        <f t="shared" ca="1" si="19"/>
        <v>2</v>
      </c>
      <c r="D424">
        <v>0.01</v>
      </c>
      <c r="E424">
        <f t="shared" ca="1" si="20"/>
        <v>0.02</v>
      </c>
    </row>
    <row r="425" spans="1:5" x14ac:dyDescent="0.25">
      <c r="A425">
        <v>424</v>
      </c>
      <c r="B425">
        <f t="shared" ca="1" si="18"/>
        <v>1</v>
      </c>
      <c r="C425">
        <f t="shared" ca="1" si="19"/>
        <v>2</v>
      </c>
      <c r="D425">
        <v>0.01</v>
      </c>
      <c r="E425">
        <f t="shared" ca="1" si="20"/>
        <v>0.02</v>
      </c>
    </row>
    <row r="426" spans="1:5" x14ac:dyDescent="0.25">
      <c r="A426">
        <v>425</v>
      </c>
      <c r="B426">
        <f t="shared" ca="1" si="18"/>
        <v>-1</v>
      </c>
      <c r="C426">
        <f t="shared" ca="1" si="19"/>
        <v>-1</v>
      </c>
      <c r="D426">
        <v>0.01</v>
      </c>
      <c r="E426">
        <f t="shared" ca="1" si="20"/>
        <v>0.01</v>
      </c>
    </row>
    <row r="427" spans="1:5" x14ac:dyDescent="0.25">
      <c r="A427">
        <v>426</v>
      </c>
      <c r="B427">
        <f t="shared" ca="1" si="18"/>
        <v>-1</v>
      </c>
      <c r="C427">
        <f t="shared" ca="1" si="19"/>
        <v>-1</v>
      </c>
      <c r="D427">
        <v>0.01</v>
      </c>
      <c r="E427">
        <f t="shared" ca="1" si="20"/>
        <v>0.01</v>
      </c>
    </row>
    <row r="428" spans="1:5" x14ac:dyDescent="0.25">
      <c r="A428">
        <v>427</v>
      </c>
      <c r="B428">
        <f t="shared" ca="1" si="18"/>
        <v>1</v>
      </c>
      <c r="C428">
        <f t="shared" ca="1" si="19"/>
        <v>2</v>
      </c>
      <c r="D428">
        <v>0.01</v>
      </c>
      <c r="E428">
        <f t="shared" ca="1" si="20"/>
        <v>0.02</v>
      </c>
    </row>
    <row r="429" spans="1:5" x14ac:dyDescent="0.25">
      <c r="A429">
        <v>428</v>
      </c>
      <c r="B429">
        <f t="shared" ca="1" si="18"/>
        <v>1</v>
      </c>
      <c r="C429">
        <f t="shared" ca="1" si="19"/>
        <v>2</v>
      </c>
      <c r="D429">
        <v>0.01</v>
      </c>
      <c r="E429">
        <f t="shared" ca="1" si="20"/>
        <v>0.02</v>
      </c>
    </row>
    <row r="430" spans="1:5" x14ac:dyDescent="0.25">
      <c r="A430">
        <v>429</v>
      </c>
      <c r="B430">
        <f t="shared" ca="1" si="18"/>
        <v>-1</v>
      </c>
      <c r="C430">
        <f t="shared" ca="1" si="19"/>
        <v>-1</v>
      </c>
      <c r="D430">
        <v>0.01</v>
      </c>
      <c r="E430">
        <f t="shared" ca="1" si="20"/>
        <v>0.01</v>
      </c>
    </row>
    <row r="431" spans="1:5" x14ac:dyDescent="0.25">
      <c r="A431">
        <v>430</v>
      </c>
      <c r="B431">
        <f t="shared" ca="1" si="18"/>
        <v>1</v>
      </c>
      <c r="C431">
        <f t="shared" ca="1" si="19"/>
        <v>2</v>
      </c>
      <c r="D431">
        <v>0.01</v>
      </c>
      <c r="E431">
        <f t="shared" ca="1" si="20"/>
        <v>0.02</v>
      </c>
    </row>
    <row r="432" spans="1:5" x14ac:dyDescent="0.25">
      <c r="A432">
        <v>431</v>
      </c>
      <c r="B432">
        <f t="shared" ca="1" si="18"/>
        <v>-1</v>
      </c>
      <c r="C432">
        <f t="shared" ca="1" si="19"/>
        <v>-1</v>
      </c>
      <c r="D432">
        <v>0.01</v>
      </c>
      <c r="E432">
        <f t="shared" ca="1" si="20"/>
        <v>0.01</v>
      </c>
    </row>
    <row r="433" spans="1:5" x14ac:dyDescent="0.25">
      <c r="A433">
        <v>432</v>
      </c>
      <c r="B433">
        <f t="shared" ca="1" si="18"/>
        <v>-1</v>
      </c>
      <c r="C433">
        <f t="shared" ca="1" si="19"/>
        <v>-1</v>
      </c>
      <c r="D433">
        <v>0.01</v>
      </c>
      <c r="E433">
        <f t="shared" ca="1" si="20"/>
        <v>0.01</v>
      </c>
    </row>
    <row r="434" spans="1:5" x14ac:dyDescent="0.25">
      <c r="A434">
        <v>433</v>
      </c>
      <c r="B434">
        <f t="shared" ca="1" si="18"/>
        <v>-1</v>
      </c>
      <c r="C434">
        <f t="shared" ca="1" si="19"/>
        <v>-1</v>
      </c>
      <c r="D434">
        <v>0.01</v>
      </c>
      <c r="E434">
        <f t="shared" ca="1" si="20"/>
        <v>0.01</v>
      </c>
    </row>
    <row r="435" spans="1:5" x14ac:dyDescent="0.25">
      <c r="A435">
        <v>434</v>
      </c>
      <c r="B435">
        <f t="shared" ca="1" si="18"/>
        <v>-1</v>
      </c>
      <c r="C435">
        <f t="shared" ca="1" si="19"/>
        <v>-1</v>
      </c>
      <c r="D435">
        <v>0.01</v>
      </c>
      <c r="E435">
        <f t="shared" ca="1" si="20"/>
        <v>0.01</v>
      </c>
    </row>
    <row r="436" spans="1:5" x14ac:dyDescent="0.25">
      <c r="A436">
        <v>435</v>
      </c>
      <c r="B436">
        <f t="shared" ca="1" si="18"/>
        <v>-1</v>
      </c>
      <c r="C436">
        <f t="shared" ca="1" si="19"/>
        <v>-1</v>
      </c>
      <c r="D436">
        <v>0.01</v>
      </c>
      <c r="E436">
        <f t="shared" ca="1" si="20"/>
        <v>0.01</v>
      </c>
    </row>
    <row r="437" spans="1:5" x14ac:dyDescent="0.25">
      <c r="A437">
        <v>436</v>
      </c>
      <c r="B437">
        <f t="shared" ca="1" si="18"/>
        <v>-1</v>
      </c>
      <c r="C437">
        <f t="shared" ca="1" si="19"/>
        <v>-1</v>
      </c>
      <c r="D437">
        <v>0.01</v>
      </c>
      <c r="E437">
        <f t="shared" ca="1" si="20"/>
        <v>0.01</v>
      </c>
    </row>
    <row r="438" spans="1:5" x14ac:dyDescent="0.25">
      <c r="A438">
        <v>437</v>
      </c>
      <c r="B438">
        <f t="shared" ca="1" si="18"/>
        <v>1</v>
      </c>
      <c r="C438">
        <f t="shared" ca="1" si="19"/>
        <v>2</v>
      </c>
      <c r="D438">
        <v>0.01</v>
      </c>
      <c r="E438">
        <f t="shared" ca="1" si="20"/>
        <v>0.02</v>
      </c>
    </row>
    <row r="439" spans="1:5" x14ac:dyDescent="0.25">
      <c r="A439">
        <v>438</v>
      </c>
      <c r="B439">
        <f t="shared" ca="1" si="18"/>
        <v>-1</v>
      </c>
      <c r="C439">
        <f t="shared" ca="1" si="19"/>
        <v>-1</v>
      </c>
      <c r="D439">
        <v>0.01</v>
      </c>
      <c r="E439">
        <f t="shared" ca="1" si="20"/>
        <v>0.01</v>
      </c>
    </row>
    <row r="440" spans="1:5" x14ac:dyDescent="0.25">
      <c r="A440">
        <v>439</v>
      </c>
      <c r="B440">
        <f t="shared" ca="1" si="18"/>
        <v>-1</v>
      </c>
      <c r="C440">
        <f t="shared" ca="1" si="19"/>
        <v>-1</v>
      </c>
      <c r="D440">
        <v>0.01</v>
      </c>
      <c r="E440">
        <f t="shared" ca="1" si="20"/>
        <v>0.01</v>
      </c>
    </row>
    <row r="441" spans="1:5" x14ac:dyDescent="0.25">
      <c r="A441">
        <v>440</v>
      </c>
      <c r="B441">
        <f t="shared" ca="1" si="18"/>
        <v>1</v>
      </c>
      <c r="C441">
        <f t="shared" ca="1" si="19"/>
        <v>2</v>
      </c>
      <c r="D441">
        <v>0.01</v>
      </c>
      <c r="E441">
        <f t="shared" ca="1" si="20"/>
        <v>0.02</v>
      </c>
    </row>
    <row r="442" spans="1:5" x14ac:dyDescent="0.25">
      <c r="A442">
        <v>441</v>
      </c>
      <c r="B442">
        <f t="shared" ca="1" si="18"/>
        <v>1</v>
      </c>
      <c r="C442">
        <f t="shared" ca="1" si="19"/>
        <v>2</v>
      </c>
      <c r="D442">
        <v>0.01</v>
      </c>
      <c r="E442">
        <f t="shared" ca="1" si="20"/>
        <v>0.02</v>
      </c>
    </row>
    <row r="443" spans="1:5" x14ac:dyDescent="0.25">
      <c r="A443">
        <v>442</v>
      </c>
      <c r="B443">
        <f t="shared" ca="1" si="18"/>
        <v>-1</v>
      </c>
      <c r="C443">
        <f t="shared" ca="1" si="19"/>
        <v>-1</v>
      </c>
      <c r="D443">
        <v>0.01</v>
      </c>
      <c r="E443">
        <f t="shared" ca="1" si="20"/>
        <v>0.01</v>
      </c>
    </row>
    <row r="444" spans="1:5" x14ac:dyDescent="0.25">
      <c r="A444">
        <v>443</v>
      </c>
      <c r="B444">
        <f t="shared" ca="1" si="18"/>
        <v>1</v>
      </c>
      <c r="C444">
        <f t="shared" ca="1" si="19"/>
        <v>2</v>
      </c>
      <c r="D444">
        <v>0.01</v>
      </c>
      <c r="E444">
        <f t="shared" ca="1" si="20"/>
        <v>0.02</v>
      </c>
    </row>
    <row r="445" spans="1:5" x14ac:dyDescent="0.25">
      <c r="A445">
        <v>444</v>
      </c>
      <c r="B445">
        <f t="shared" ca="1" si="18"/>
        <v>1</v>
      </c>
      <c r="C445">
        <f t="shared" ca="1" si="19"/>
        <v>2</v>
      </c>
      <c r="D445">
        <v>0.01</v>
      </c>
      <c r="E445">
        <f t="shared" ca="1" si="20"/>
        <v>0.02</v>
      </c>
    </row>
    <row r="446" spans="1:5" x14ac:dyDescent="0.25">
      <c r="A446">
        <v>445</v>
      </c>
      <c r="B446">
        <f t="shared" ca="1" si="18"/>
        <v>-1</v>
      </c>
      <c r="C446">
        <f t="shared" ca="1" si="19"/>
        <v>-1</v>
      </c>
      <c r="D446">
        <v>0.01</v>
      </c>
      <c r="E446">
        <f t="shared" ca="1" si="20"/>
        <v>0.01</v>
      </c>
    </row>
    <row r="447" spans="1:5" x14ac:dyDescent="0.25">
      <c r="A447">
        <v>446</v>
      </c>
      <c r="B447">
        <f t="shared" ca="1" si="18"/>
        <v>-1</v>
      </c>
      <c r="C447">
        <f t="shared" ca="1" si="19"/>
        <v>-1</v>
      </c>
      <c r="D447">
        <v>0.01</v>
      </c>
      <c r="E447">
        <f t="shared" ca="1" si="20"/>
        <v>0.01</v>
      </c>
    </row>
    <row r="448" spans="1:5" x14ac:dyDescent="0.25">
      <c r="A448">
        <v>447</v>
      </c>
      <c r="B448">
        <f t="shared" ca="1" si="18"/>
        <v>1</v>
      </c>
      <c r="C448">
        <f t="shared" ca="1" si="19"/>
        <v>2</v>
      </c>
      <c r="D448">
        <v>0.01</v>
      </c>
      <c r="E448">
        <f t="shared" ca="1" si="20"/>
        <v>0.02</v>
      </c>
    </row>
    <row r="449" spans="1:5" x14ac:dyDescent="0.25">
      <c r="A449">
        <v>448</v>
      </c>
      <c r="B449">
        <f t="shared" ca="1" si="18"/>
        <v>1</v>
      </c>
      <c r="C449">
        <f t="shared" ca="1" si="19"/>
        <v>2</v>
      </c>
      <c r="D449">
        <v>0.01</v>
      </c>
      <c r="E449">
        <f t="shared" ca="1" si="20"/>
        <v>0.02</v>
      </c>
    </row>
    <row r="450" spans="1:5" x14ac:dyDescent="0.25">
      <c r="A450">
        <v>449</v>
      </c>
      <c r="B450">
        <f t="shared" ref="B450:B513" ca="1" si="21">IF(RAND()&lt;0.55,1,-1)</f>
        <v>1</v>
      </c>
      <c r="C450">
        <f t="shared" ref="C450:C513" ca="1" si="22">IF(B450=1,2,-1)</f>
        <v>2</v>
      </c>
      <c r="D450">
        <v>0.01</v>
      </c>
      <c r="E450">
        <f t="shared" ref="E450:E513" ca="1" si="23">B450*C450*D450</f>
        <v>0.02</v>
      </c>
    </row>
    <row r="451" spans="1:5" x14ac:dyDescent="0.25">
      <c r="A451">
        <v>450</v>
      </c>
      <c r="B451">
        <f t="shared" ca="1" si="21"/>
        <v>1</v>
      </c>
      <c r="C451">
        <f t="shared" ca="1" si="22"/>
        <v>2</v>
      </c>
      <c r="D451">
        <v>0.01</v>
      </c>
      <c r="E451">
        <f t="shared" ca="1" si="23"/>
        <v>0.02</v>
      </c>
    </row>
    <row r="452" spans="1:5" x14ac:dyDescent="0.25">
      <c r="A452">
        <v>451</v>
      </c>
      <c r="B452">
        <f t="shared" ca="1" si="21"/>
        <v>1</v>
      </c>
      <c r="C452">
        <f t="shared" ca="1" si="22"/>
        <v>2</v>
      </c>
      <c r="D452">
        <v>0.01</v>
      </c>
      <c r="E452">
        <f t="shared" ca="1" si="23"/>
        <v>0.02</v>
      </c>
    </row>
    <row r="453" spans="1:5" x14ac:dyDescent="0.25">
      <c r="A453">
        <v>452</v>
      </c>
      <c r="B453">
        <f t="shared" ca="1" si="21"/>
        <v>1</v>
      </c>
      <c r="C453">
        <f t="shared" ca="1" si="22"/>
        <v>2</v>
      </c>
      <c r="D453">
        <v>0.01</v>
      </c>
      <c r="E453">
        <f t="shared" ca="1" si="23"/>
        <v>0.02</v>
      </c>
    </row>
    <row r="454" spans="1:5" x14ac:dyDescent="0.25">
      <c r="A454">
        <v>453</v>
      </c>
      <c r="B454">
        <f t="shared" ca="1" si="21"/>
        <v>-1</v>
      </c>
      <c r="C454">
        <f t="shared" ca="1" si="22"/>
        <v>-1</v>
      </c>
      <c r="D454">
        <v>0.01</v>
      </c>
      <c r="E454">
        <f t="shared" ca="1" si="23"/>
        <v>0.01</v>
      </c>
    </row>
    <row r="455" spans="1:5" x14ac:dyDescent="0.25">
      <c r="A455">
        <v>454</v>
      </c>
      <c r="B455">
        <f t="shared" ca="1" si="21"/>
        <v>1</v>
      </c>
      <c r="C455">
        <f t="shared" ca="1" si="22"/>
        <v>2</v>
      </c>
      <c r="D455">
        <v>0.01</v>
      </c>
      <c r="E455">
        <f t="shared" ca="1" si="23"/>
        <v>0.02</v>
      </c>
    </row>
    <row r="456" spans="1:5" x14ac:dyDescent="0.25">
      <c r="A456">
        <v>455</v>
      </c>
      <c r="B456">
        <f t="shared" ca="1" si="21"/>
        <v>1</v>
      </c>
      <c r="C456">
        <f t="shared" ca="1" si="22"/>
        <v>2</v>
      </c>
      <c r="D456">
        <v>0.01</v>
      </c>
      <c r="E456">
        <f t="shared" ca="1" si="23"/>
        <v>0.02</v>
      </c>
    </row>
    <row r="457" spans="1:5" x14ac:dyDescent="0.25">
      <c r="A457">
        <v>456</v>
      </c>
      <c r="B457">
        <f t="shared" ca="1" si="21"/>
        <v>1</v>
      </c>
      <c r="C457">
        <f t="shared" ca="1" si="22"/>
        <v>2</v>
      </c>
      <c r="D457">
        <v>0.01</v>
      </c>
      <c r="E457">
        <f t="shared" ca="1" si="23"/>
        <v>0.02</v>
      </c>
    </row>
    <row r="458" spans="1:5" x14ac:dyDescent="0.25">
      <c r="A458">
        <v>457</v>
      </c>
      <c r="B458">
        <f t="shared" ca="1" si="21"/>
        <v>-1</v>
      </c>
      <c r="C458">
        <f t="shared" ca="1" si="22"/>
        <v>-1</v>
      </c>
      <c r="D458">
        <v>0.01</v>
      </c>
      <c r="E458">
        <f t="shared" ca="1" si="23"/>
        <v>0.01</v>
      </c>
    </row>
    <row r="459" spans="1:5" x14ac:dyDescent="0.25">
      <c r="A459">
        <v>458</v>
      </c>
      <c r="B459">
        <f t="shared" ca="1" si="21"/>
        <v>-1</v>
      </c>
      <c r="C459">
        <f t="shared" ca="1" si="22"/>
        <v>-1</v>
      </c>
      <c r="D459">
        <v>0.01</v>
      </c>
      <c r="E459">
        <f t="shared" ca="1" si="23"/>
        <v>0.01</v>
      </c>
    </row>
    <row r="460" spans="1:5" x14ac:dyDescent="0.25">
      <c r="A460">
        <v>459</v>
      </c>
      <c r="B460">
        <f t="shared" ca="1" si="21"/>
        <v>1</v>
      </c>
      <c r="C460">
        <f t="shared" ca="1" si="22"/>
        <v>2</v>
      </c>
      <c r="D460">
        <v>0.01</v>
      </c>
      <c r="E460">
        <f t="shared" ca="1" si="23"/>
        <v>0.02</v>
      </c>
    </row>
    <row r="461" spans="1:5" x14ac:dyDescent="0.25">
      <c r="A461">
        <v>460</v>
      </c>
      <c r="B461">
        <f t="shared" ca="1" si="21"/>
        <v>-1</v>
      </c>
      <c r="C461">
        <f t="shared" ca="1" si="22"/>
        <v>-1</v>
      </c>
      <c r="D461">
        <v>0.01</v>
      </c>
      <c r="E461">
        <f t="shared" ca="1" si="23"/>
        <v>0.01</v>
      </c>
    </row>
    <row r="462" spans="1:5" x14ac:dyDescent="0.25">
      <c r="A462">
        <v>461</v>
      </c>
      <c r="B462">
        <f t="shared" ca="1" si="21"/>
        <v>-1</v>
      </c>
      <c r="C462">
        <f t="shared" ca="1" si="22"/>
        <v>-1</v>
      </c>
      <c r="D462">
        <v>0.01</v>
      </c>
      <c r="E462">
        <f t="shared" ca="1" si="23"/>
        <v>0.01</v>
      </c>
    </row>
    <row r="463" spans="1:5" x14ac:dyDescent="0.25">
      <c r="A463">
        <v>462</v>
      </c>
      <c r="B463">
        <f t="shared" ca="1" si="21"/>
        <v>1</v>
      </c>
      <c r="C463">
        <f t="shared" ca="1" si="22"/>
        <v>2</v>
      </c>
      <c r="D463">
        <v>0.01</v>
      </c>
      <c r="E463">
        <f t="shared" ca="1" si="23"/>
        <v>0.02</v>
      </c>
    </row>
    <row r="464" spans="1:5" x14ac:dyDescent="0.25">
      <c r="A464">
        <v>463</v>
      </c>
      <c r="B464">
        <f t="shared" ca="1" si="21"/>
        <v>1</v>
      </c>
      <c r="C464">
        <f t="shared" ca="1" si="22"/>
        <v>2</v>
      </c>
      <c r="D464">
        <v>0.01</v>
      </c>
      <c r="E464">
        <f t="shared" ca="1" si="23"/>
        <v>0.02</v>
      </c>
    </row>
    <row r="465" spans="1:5" x14ac:dyDescent="0.25">
      <c r="A465">
        <v>464</v>
      </c>
      <c r="B465">
        <f t="shared" ca="1" si="21"/>
        <v>1</v>
      </c>
      <c r="C465">
        <f t="shared" ca="1" si="22"/>
        <v>2</v>
      </c>
      <c r="D465">
        <v>0.01</v>
      </c>
      <c r="E465">
        <f t="shared" ca="1" si="23"/>
        <v>0.02</v>
      </c>
    </row>
    <row r="466" spans="1:5" x14ac:dyDescent="0.25">
      <c r="A466">
        <v>465</v>
      </c>
      <c r="B466">
        <f t="shared" ca="1" si="21"/>
        <v>1</v>
      </c>
      <c r="C466">
        <f t="shared" ca="1" si="22"/>
        <v>2</v>
      </c>
      <c r="D466">
        <v>0.01</v>
      </c>
      <c r="E466">
        <f t="shared" ca="1" si="23"/>
        <v>0.02</v>
      </c>
    </row>
    <row r="467" spans="1:5" x14ac:dyDescent="0.25">
      <c r="A467">
        <v>466</v>
      </c>
      <c r="B467">
        <f t="shared" ca="1" si="21"/>
        <v>1</v>
      </c>
      <c r="C467">
        <f t="shared" ca="1" si="22"/>
        <v>2</v>
      </c>
      <c r="D467">
        <v>0.01</v>
      </c>
      <c r="E467">
        <f t="shared" ca="1" si="23"/>
        <v>0.02</v>
      </c>
    </row>
    <row r="468" spans="1:5" x14ac:dyDescent="0.25">
      <c r="A468">
        <v>467</v>
      </c>
      <c r="B468">
        <f t="shared" ca="1" si="21"/>
        <v>1</v>
      </c>
      <c r="C468">
        <f t="shared" ca="1" si="22"/>
        <v>2</v>
      </c>
      <c r="D468">
        <v>0.01</v>
      </c>
      <c r="E468">
        <f t="shared" ca="1" si="23"/>
        <v>0.02</v>
      </c>
    </row>
    <row r="469" spans="1:5" x14ac:dyDescent="0.25">
      <c r="A469">
        <v>468</v>
      </c>
      <c r="B469">
        <f t="shared" ca="1" si="21"/>
        <v>-1</v>
      </c>
      <c r="C469">
        <f t="shared" ca="1" si="22"/>
        <v>-1</v>
      </c>
      <c r="D469">
        <v>0.01</v>
      </c>
      <c r="E469">
        <f t="shared" ca="1" si="23"/>
        <v>0.01</v>
      </c>
    </row>
    <row r="470" spans="1:5" x14ac:dyDescent="0.25">
      <c r="A470">
        <v>469</v>
      </c>
      <c r="B470">
        <f t="shared" ca="1" si="21"/>
        <v>-1</v>
      </c>
      <c r="C470">
        <f t="shared" ca="1" si="22"/>
        <v>-1</v>
      </c>
      <c r="D470">
        <v>0.01</v>
      </c>
      <c r="E470">
        <f t="shared" ca="1" si="23"/>
        <v>0.01</v>
      </c>
    </row>
    <row r="471" spans="1:5" x14ac:dyDescent="0.25">
      <c r="A471">
        <v>470</v>
      </c>
      <c r="B471">
        <f t="shared" ca="1" si="21"/>
        <v>1</v>
      </c>
      <c r="C471">
        <f t="shared" ca="1" si="22"/>
        <v>2</v>
      </c>
      <c r="D471">
        <v>0.01</v>
      </c>
      <c r="E471">
        <f t="shared" ca="1" si="23"/>
        <v>0.02</v>
      </c>
    </row>
    <row r="472" spans="1:5" x14ac:dyDescent="0.25">
      <c r="A472">
        <v>471</v>
      </c>
      <c r="B472">
        <f t="shared" ca="1" si="21"/>
        <v>1</v>
      </c>
      <c r="C472">
        <f t="shared" ca="1" si="22"/>
        <v>2</v>
      </c>
      <c r="D472">
        <v>0.01</v>
      </c>
      <c r="E472">
        <f t="shared" ca="1" si="23"/>
        <v>0.02</v>
      </c>
    </row>
    <row r="473" spans="1:5" x14ac:dyDescent="0.25">
      <c r="A473">
        <v>472</v>
      </c>
      <c r="B473">
        <f t="shared" ca="1" si="21"/>
        <v>1</v>
      </c>
      <c r="C473">
        <f t="shared" ca="1" si="22"/>
        <v>2</v>
      </c>
      <c r="D473">
        <v>0.01</v>
      </c>
      <c r="E473">
        <f t="shared" ca="1" si="23"/>
        <v>0.02</v>
      </c>
    </row>
    <row r="474" spans="1:5" x14ac:dyDescent="0.25">
      <c r="A474">
        <v>473</v>
      </c>
      <c r="B474">
        <f t="shared" ca="1" si="21"/>
        <v>1</v>
      </c>
      <c r="C474">
        <f t="shared" ca="1" si="22"/>
        <v>2</v>
      </c>
      <c r="D474">
        <v>0.01</v>
      </c>
      <c r="E474">
        <f t="shared" ca="1" si="23"/>
        <v>0.02</v>
      </c>
    </row>
    <row r="475" spans="1:5" x14ac:dyDescent="0.25">
      <c r="A475">
        <v>474</v>
      </c>
      <c r="B475">
        <f t="shared" ca="1" si="21"/>
        <v>-1</v>
      </c>
      <c r="C475">
        <f t="shared" ca="1" si="22"/>
        <v>-1</v>
      </c>
      <c r="D475">
        <v>0.01</v>
      </c>
      <c r="E475">
        <f t="shared" ca="1" si="23"/>
        <v>0.01</v>
      </c>
    </row>
    <row r="476" spans="1:5" x14ac:dyDescent="0.25">
      <c r="A476">
        <v>475</v>
      </c>
      <c r="B476">
        <f t="shared" ca="1" si="21"/>
        <v>-1</v>
      </c>
      <c r="C476">
        <f t="shared" ca="1" si="22"/>
        <v>-1</v>
      </c>
      <c r="D476">
        <v>0.01</v>
      </c>
      <c r="E476">
        <f t="shared" ca="1" si="23"/>
        <v>0.01</v>
      </c>
    </row>
    <row r="477" spans="1:5" x14ac:dyDescent="0.25">
      <c r="A477">
        <v>476</v>
      </c>
      <c r="B477">
        <f t="shared" ca="1" si="21"/>
        <v>1</v>
      </c>
      <c r="C477">
        <f t="shared" ca="1" si="22"/>
        <v>2</v>
      </c>
      <c r="D477">
        <v>0.01</v>
      </c>
      <c r="E477">
        <f t="shared" ca="1" si="23"/>
        <v>0.02</v>
      </c>
    </row>
    <row r="478" spans="1:5" x14ac:dyDescent="0.25">
      <c r="A478">
        <v>477</v>
      </c>
      <c r="B478">
        <f t="shared" ca="1" si="21"/>
        <v>-1</v>
      </c>
      <c r="C478">
        <f t="shared" ca="1" si="22"/>
        <v>-1</v>
      </c>
      <c r="D478">
        <v>0.01</v>
      </c>
      <c r="E478">
        <f t="shared" ca="1" si="23"/>
        <v>0.01</v>
      </c>
    </row>
    <row r="479" spans="1:5" x14ac:dyDescent="0.25">
      <c r="A479">
        <v>478</v>
      </c>
      <c r="B479">
        <f t="shared" ca="1" si="21"/>
        <v>1</v>
      </c>
      <c r="C479">
        <f t="shared" ca="1" si="22"/>
        <v>2</v>
      </c>
      <c r="D479">
        <v>0.01</v>
      </c>
      <c r="E479">
        <f t="shared" ca="1" si="23"/>
        <v>0.02</v>
      </c>
    </row>
    <row r="480" spans="1:5" x14ac:dyDescent="0.25">
      <c r="A480">
        <v>479</v>
      </c>
      <c r="B480">
        <f t="shared" ca="1" si="21"/>
        <v>-1</v>
      </c>
      <c r="C480">
        <f t="shared" ca="1" si="22"/>
        <v>-1</v>
      </c>
      <c r="D480">
        <v>0.01</v>
      </c>
      <c r="E480">
        <f t="shared" ca="1" si="23"/>
        <v>0.01</v>
      </c>
    </row>
    <row r="481" spans="1:5" x14ac:dyDescent="0.25">
      <c r="A481">
        <v>480</v>
      </c>
      <c r="B481">
        <f t="shared" ca="1" si="21"/>
        <v>1</v>
      </c>
      <c r="C481">
        <f t="shared" ca="1" si="22"/>
        <v>2</v>
      </c>
      <c r="D481">
        <v>0.01</v>
      </c>
      <c r="E481">
        <f t="shared" ca="1" si="23"/>
        <v>0.02</v>
      </c>
    </row>
    <row r="482" spans="1:5" x14ac:dyDescent="0.25">
      <c r="A482">
        <v>481</v>
      </c>
      <c r="B482">
        <f t="shared" ca="1" si="21"/>
        <v>-1</v>
      </c>
      <c r="C482">
        <f t="shared" ca="1" si="22"/>
        <v>-1</v>
      </c>
      <c r="D482">
        <v>0.01</v>
      </c>
      <c r="E482">
        <f t="shared" ca="1" si="23"/>
        <v>0.01</v>
      </c>
    </row>
    <row r="483" spans="1:5" x14ac:dyDescent="0.25">
      <c r="A483">
        <v>482</v>
      </c>
      <c r="B483">
        <f t="shared" ca="1" si="21"/>
        <v>-1</v>
      </c>
      <c r="C483">
        <f t="shared" ca="1" si="22"/>
        <v>-1</v>
      </c>
      <c r="D483">
        <v>0.01</v>
      </c>
      <c r="E483">
        <f t="shared" ca="1" si="23"/>
        <v>0.01</v>
      </c>
    </row>
    <row r="484" spans="1:5" x14ac:dyDescent="0.25">
      <c r="A484">
        <v>483</v>
      </c>
      <c r="B484">
        <f t="shared" ca="1" si="21"/>
        <v>1</v>
      </c>
      <c r="C484">
        <f t="shared" ca="1" si="22"/>
        <v>2</v>
      </c>
      <c r="D484">
        <v>0.01</v>
      </c>
      <c r="E484">
        <f t="shared" ca="1" si="23"/>
        <v>0.02</v>
      </c>
    </row>
    <row r="485" spans="1:5" x14ac:dyDescent="0.25">
      <c r="A485">
        <v>484</v>
      </c>
      <c r="B485">
        <f t="shared" ca="1" si="21"/>
        <v>1</v>
      </c>
      <c r="C485">
        <f t="shared" ca="1" si="22"/>
        <v>2</v>
      </c>
      <c r="D485">
        <v>0.01</v>
      </c>
      <c r="E485">
        <f t="shared" ca="1" si="23"/>
        <v>0.02</v>
      </c>
    </row>
    <row r="486" spans="1:5" x14ac:dyDescent="0.25">
      <c r="A486">
        <v>485</v>
      </c>
      <c r="B486">
        <f t="shared" ca="1" si="21"/>
        <v>1</v>
      </c>
      <c r="C486">
        <f t="shared" ca="1" si="22"/>
        <v>2</v>
      </c>
      <c r="D486">
        <v>0.01</v>
      </c>
      <c r="E486">
        <f t="shared" ca="1" si="23"/>
        <v>0.02</v>
      </c>
    </row>
    <row r="487" spans="1:5" x14ac:dyDescent="0.25">
      <c r="A487">
        <v>486</v>
      </c>
      <c r="B487">
        <f t="shared" ca="1" si="21"/>
        <v>1</v>
      </c>
      <c r="C487">
        <f t="shared" ca="1" si="22"/>
        <v>2</v>
      </c>
      <c r="D487">
        <v>0.01</v>
      </c>
      <c r="E487">
        <f t="shared" ca="1" si="23"/>
        <v>0.02</v>
      </c>
    </row>
    <row r="488" spans="1:5" x14ac:dyDescent="0.25">
      <c r="A488">
        <v>487</v>
      </c>
      <c r="B488">
        <f t="shared" ca="1" si="21"/>
        <v>1</v>
      </c>
      <c r="C488">
        <f t="shared" ca="1" si="22"/>
        <v>2</v>
      </c>
      <c r="D488">
        <v>0.01</v>
      </c>
      <c r="E488">
        <f t="shared" ca="1" si="23"/>
        <v>0.02</v>
      </c>
    </row>
    <row r="489" spans="1:5" x14ac:dyDescent="0.25">
      <c r="A489">
        <v>488</v>
      </c>
      <c r="B489">
        <f t="shared" ca="1" si="21"/>
        <v>-1</v>
      </c>
      <c r="C489">
        <f t="shared" ca="1" si="22"/>
        <v>-1</v>
      </c>
      <c r="D489">
        <v>0.01</v>
      </c>
      <c r="E489">
        <f t="shared" ca="1" si="23"/>
        <v>0.01</v>
      </c>
    </row>
    <row r="490" spans="1:5" x14ac:dyDescent="0.25">
      <c r="A490">
        <v>489</v>
      </c>
      <c r="B490">
        <f t="shared" ca="1" si="21"/>
        <v>-1</v>
      </c>
      <c r="C490">
        <f t="shared" ca="1" si="22"/>
        <v>-1</v>
      </c>
      <c r="D490">
        <v>0.01</v>
      </c>
      <c r="E490">
        <f t="shared" ca="1" si="23"/>
        <v>0.01</v>
      </c>
    </row>
    <row r="491" spans="1:5" x14ac:dyDescent="0.25">
      <c r="A491">
        <v>490</v>
      </c>
      <c r="B491">
        <f t="shared" ca="1" si="21"/>
        <v>-1</v>
      </c>
      <c r="C491">
        <f t="shared" ca="1" si="22"/>
        <v>-1</v>
      </c>
      <c r="D491">
        <v>0.01</v>
      </c>
      <c r="E491">
        <f t="shared" ca="1" si="23"/>
        <v>0.01</v>
      </c>
    </row>
    <row r="492" spans="1:5" x14ac:dyDescent="0.25">
      <c r="A492">
        <v>491</v>
      </c>
      <c r="B492">
        <f t="shared" ca="1" si="21"/>
        <v>-1</v>
      </c>
      <c r="C492">
        <f t="shared" ca="1" si="22"/>
        <v>-1</v>
      </c>
      <c r="D492">
        <v>0.01</v>
      </c>
      <c r="E492">
        <f t="shared" ca="1" si="23"/>
        <v>0.01</v>
      </c>
    </row>
    <row r="493" spans="1:5" x14ac:dyDescent="0.25">
      <c r="A493">
        <v>492</v>
      </c>
      <c r="B493">
        <f t="shared" ca="1" si="21"/>
        <v>-1</v>
      </c>
      <c r="C493">
        <f t="shared" ca="1" si="22"/>
        <v>-1</v>
      </c>
      <c r="D493">
        <v>0.01</v>
      </c>
      <c r="E493">
        <f t="shared" ca="1" si="23"/>
        <v>0.01</v>
      </c>
    </row>
    <row r="494" spans="1:5" x14ac:dyDescent="0.25">
      <c r="A494">
        <v>493</v>
      </c>
      <c r="B494">
        <f t="shared" ca="1" si="21"/>
        <v>-1</v>
      </c>
      <c r="C494">
        <f t="shared" ca="1" si="22"/>
        <v>-1</v>
      </c>
      <c r="D494">
        <v>0.01</v>
      </c>
      <c r="E494">
        <f t="shared" ca="1" si="23"/>
        <v>0.01</v>
      </c>
    </row>
    <row r="495" spans="1:5" x14ac:dyDescent="0.25">
      <c r="A495">
        <v>494</v>
      </c>
      <c r="B495">
        <f t="shared" ca="1" si="21"/>
        <v>-1</v>
      </c>
      <c r="C495">
        <f t="shared" ca="1" si="22"/>
        <v>-1</v>
      </c>
      <c r="D495">
        <v>0.01</v>
      </c>
      <c r="E495">
        <f t="shared" ca="1" si="23"/>
        <v>0.01</v>
      </c>
    </row>
    <row r="496" spans="1:5" x14ac:dyDescent="0.25">
      <c r="A496">
        <v>495</v>
      </c>
      <c r="B496">
        <f t="shared" ca="1" si="21"/>
        <v>1</v>
      </c>
      <c r="C496">
        <f t="shared" ca="1" si="22"/>
        <v>2</v>
      </c>
      <c r="D496">
        <v>0.01</v>
      </c>
      <c r="E496">
        <f t="shared" ca="1" si="23"/>
        <v>0.02</v>
      </c>
    </row>
    <row r="497" spans="1:5" x14ac:dyDescent="0.25">
      <c r="A497">
        <v>496</v>
      </c>
      <c r="B497">
        <f t="shared" ca="1" si="21"/>
        <v>-1</v>
      </c>
      <c r="C497">
        <f t="shared" ca="1" si="22"/>
        <v>-1</v>
      </c>
      <c r="D497">
        <v>0.01</v>
      </c>
      <c r="E497">
        <f t="shared" ca="1" si="23"/>
        <v>0.01</v>
      </c>
    </row>
    <row r="498" spans="1:5" x14ac:dyDescent="0.25">
      <c r="A498">
        <v>497</v>
      </c>
      <c r="B498">
        <f t="shared" ca="1" si="21"/>
        <v>-1</v>
      </c>
      <c r="C498">
        <f t="shared" ca="1" si="22"/>
        <v>-1</v>
      </c>
      <c r="D498">
        <v>0.01</v>
      </c>
      <c r="E498">
        <f t="shared" ca="1" si="23"/>
        <v>0.01</v>
      </c>
    </row>
    <row r="499" spans="1:5" x14ac:dyDescent="0.25">
      <c r="A499">
        <v>498</v>
      </c>
      <c r="B499">
        <f t="shared" ca="1" si="21"/>
        <v>-1</v>
      </c>
      <c r="C499">
        <f t="shared" ca="1" si="22"/>
        <v>-1</v>
      </c>
      <c r="D499">
        <v>0.01</v>
      </c>
      <c r="E499">
        <f t="shared" ca="1" si="23"/>
        <v>0.01</v>
      </c>
    </row>
    <row r="500" spans="1:5" x14ac:dyDescent="0.25">
      <c r="A500">
        <v>499</v>
      </c>
      <c r="B500">
        <f t="shared" ca="1" si="21"/>
        <v>1</v>
      </c>
      <c r="C500">
        <f t="shared" ca="1" si="22"/>
        <v>2</v>
      </c>
      <c r="D500">
        <v>0.01</v>
      </c>
      <c r="E500">
        <f t="shared" ca="1" si="23"/>
        <v>0.02</v>
      </c>
    </row>
    <row r="501" spans="1:5" x14ac:dyDescent="0.25">
      <c r="A501">
        <v>500</v>
      </c>
      <c r="B501">
        <f t="shared" ca="1" si="21"/>
        <v>1</v>
      </c>
      <c r="C501">
        <f t="shared" ca="1" si="22"/>
        <v>2</v>
      </c>
      <c r="D501">
        <v>0.01</v>
      </c>
      <c r="E501">
        <f t="shared" ca="1" si="23"/>
        <v>0.02</v>
      </c>
    </row>
    <row r="502" spans="1:5" x14ac:dyDescent="0.25">
      <c r="A502">
        <v>501</v>
      </c>
      <c r="B502">
        <f t="shared" ca="1" si="21"/>
        <v>-1</v>
      </c>
      <c r="C502">
        <f t="shared" ca="1" si="22"/>
        <v>-1</v>
      </c>
      <c r="D502">
        <v>0.01</v>
      </c>
      <c r="E502">
        <f t="shared" ca="1" si="23"/>
        <v>0.01</v>
      </c>
    </row>
    <row r="503" spans="1:5" x14ac:dyDescent="0.25">
      <c r="A503">
        <v>502</v>
      </c>
      <c r="B503">
        <f t="shared" ca="1" si="21"/>
        <v>-1</v>
      </c>
      <c r="C503">
        <f t="shared" ca="1" si="22"/>
        <v>-1</v>
      </c>
      <c r="D503">
        <v>0.01</v>
      </c>
      <c r="E503">
        <f t="shared" ca="1" si="23"/>
        <v>0.01</v>
      </c>
    </row>
    <row r="504" spans="1:5" x14ac:dyDescent="0.25">
      <c r="A504">
        <v>503</v>
      </c>
      <c r="B504">
        <f t="shared" ca="1" si="21"/>
        <v>1</v>
      </c>
      <c r="C504">
        <f t="shared" ca="1" si="22"/>
        <v>2</v>
      </c>
      <c r="D504">
        <v>0.01</v>
      </c>
      <c r="E504">
        <f t="shared" ca="1" si="23"/>
        <v>0.02</v>
      </c>
    </row>
    <row r="505" spans="1:5" x14ac:dyDescent="0.25">
      <c r="A505">
        <v>504</v>
      </c>
      <c r="B505">
        <f t="shared" ca="1" si="21"/>
        <v>1</v>
      </c>
      <c r="C505">
        <f t="shared" ca="1" si="22"/>
        <v>2</v>
      </c>
      <c r="D505">
        <v>0.01</v>
      </c>
      <c r="E505">
        <f t="shared" ca="1" si="23"/>
        <v>0.02</v>
      </c>
    </row>
    <row r="506" spans="1:5" x14ac:dyDescent="0.25">
      <c r="A506">
        <v>505</v>
      </c>
      <c r="B506">
        <f t="shared" ca="1" si="21"/>
        <v>-1</v>
      </c>
      <c r="C506">
        <f t="shared" ca="1" si="22"/>
        <v>-1</v>
      </c>
      <c r="D506">
        <v>0.01</v>
      </c>
      <c r="E506">
        <f t="shared" ca="1" si="23"/>
        <v>0.01</v>
      </c>
    </row>
    <row r="507" spans="1:5" x14ac:dyDescent="0.25">
      <c r="A507">
        <v>506</v>
      </c>
      <c r="B507">
        <f t="shared" ca="1" si="21"/>
        <v>1</v>
      </c>
      <c r="C507">
        <f t="shared" ca="1" si="22"/>
        <v>2</v>
      </c>
      <c r="D507">
        <v>0.01</v>
      </c>
      <c r="E507">
        <f t="shared" ca="1" si="23"/>
        <v>0.02</v>
      </c>
    </row>
    <row r="508" spans="1:5" x14ac:dyDescent="0.25">
      <c r="A508">
        <v>507</v>
      </c>
      <c r="B508">
        <f t="shared" ca="1" si="21"/>
        <v>-1</v>
      </c>
      <c r="C508">
        <f t="shared" ca="1" si="22"/>
        <v>-1</v>
      </c>
      <c r="D508">
        <v>0.01</v>
      </c>
      <c r="E508">
        <f t="shared" ca="1" si="23"/>
        <v>0.01</v>
      </c>
    </row>
    <row r="509" spans="1:5" x14ac:dyDescent="0.25">
      <c r="A509">
        <v>508</v>
      </c>
      <c r="B509">
        <f t="shared" ca="1" si="21"/>
        <v>1</v>
      </c>
      <c r="C509">
        <f t="shared" ca="1" si="22"/>
        <v>2</v>
      </c>
      <c r="D509">
        <v>0.01</v>
      </c>
      <c r="E509">
        <f t="shared" ca="1" si="23"/>
        <v>0.02</v>
      </c>
    </row>
    <row r="510" spans="1:5" x14ac:dyDescent="0.25">
      <c r="A510">
        <v>509</v>
      </c>
      <c r="B510">
        <f t="shared" ca="1" si="21"/>
        <v>-1</v>
      </c>
      <c r="C510">
        <f t="shared" ca="1" si="22"/>
        <v>-1</v>
      </c>
      <c r="D510">
        <v>0.01</v>
      </c>
      <c r="E510">
        <f t="shared" ca="1" si="23"/>
        <v>0.01</v>
      </c>
    </row>
    <row r="511" spans="1:5" x14ac:dyDescent="0.25">
      <c r="A511">
        <v>510</v>
      </c>
      <c r="B511">
        <f t="shared" ca="1" si="21"/>
        <v>1</v>
      </c>
      <c r="C511">
        <f t="shared" ca="1" si="22"/>
        <v>2</v>
      </c>
      <c r="D511">
        <v>0.01</v>
      </c>
      <c r="E511">
        <f t="shared" ca="1" si="23"/>
        <v>0.02</v>
      </c>
    </row>
    <row r="512" spans="1:5" x14ac:dyDescent="0.25">
      <c r="A512">
        <v>511</v>
      </c>
      <c r="B512">
        <f t="shared" ca="1" si="21"/>
        <v>1</v>
      </c>
      <c r="C512">
        <f t="shared" ca="1" si="22"/>
        <v>2</v>
      </c>
      <c r="D512">
        <v>0.01</v>
      </c>
      <c r="E512">
        <f t="shared" ca="1" si="23"/>
        <v>0.02</v>
      </c>
    </row>
    <row r="513" spans="1:5" x14ac:dyDescent="0.25">
      <c r="A513">
        <v>512</v>
      </c>
      <c r="B513">
        <f t="shared" ca="1" si="21"/>
        <v>-1</v>
      </c>
      <c r="C513">
        <f t="shared" ca="1" si="22"/>
        <v>-1</v>
      </c>
      <c r="D513">
        <v>0.01</v>
      </c>
      <c r="E513">
        <f t="shared" ca="1" si="23"/>
        <v>0.01</v>
      </c>
    </row>
    <row r="514" spans="1:5" x14ac:dyDescent="0.25">
      <c r="A514">
        <v>513</v>
      </c>
      <c r="B514">
        <f t="shared" ref="B514:B577" ca="1" si="24">IF(RAND()&lt;0.55,1,-1)</f>
        <v>1</v>
      </c>
      <c r="C514">
        <f t="shared" ref="C514:C577" ca="1" si="25">IF(B514=1,2,-1)</f>
        <v>2</v>
      </c>
      <c r="D514">
        <v>0.01</v>
      </c>
      <c r="E514">
        <f t="shared" ref="E514:E577" ca="1" si="26">B514*C514*D514</f>
        <v>0.02</v>
      </c>
    </row>
    <row r="515" spans="1:5" x14ac:dyDescent="0.25">
      <c r="A515">
        <v>514</v>
      </c>
      <c r="B515">
        <f t="shared" ca="1" si="24"/>
        <v>-1</v>
      </c>
      <c r="C515">
        <f t="shared" ca="1" si="25"/>
        <v>-1</v>
      </c>
      <c r="D515">
        <v>0.01</v>
      </c>
      <c r="E515">
        <f t="shared" ca="1" si="26"/>
        <v>0.01</v>
      </c>
    </row>
    <row r="516" spans="1:5" x14ac:dyDescent="0.25">
      <c r="A516">
        <v>515</v>
      </c>
      <c r="B516">
        <f t="shared" ca="1" si="24"/>
        <v>1</v>
      </c>
      <c r="C516">
        <f t="shared" ca="1" si="25"/>
        <v>2</v>
      </c>
      <c r="D516">
        <v>0.01</v>
      </c>
      <c r="E516">
        <f t="shared" ca="1" si="26"/>
        <v>0.02</v>
      </c>
    </row>
    <row r="517" spans="1:5" x14ac:dyDescent="0.25">
      <c r="A517">
        <v>516</v>
      </c>
      <c r="B517">
        <f t="shared" ca="1" si="24"/>
        <v>1</v>
      </c>
      <c r="C517">
        <f t="shared" ca="1" si="25"/>
        <v>2</v>
      </c>
      <c r="D517">
        <v>0.01</v>
      </c>
      <c r="E517">
        <f t="shared" ca="1" si="26"/>
        <v>0.02</v>
      </c>
    </row>
    <row r="518" spans="1:5" x14ac:dyDescent="0.25">
      <c r="A518">
        <v>517</v>
      </c>
      <c r="B518">
        <f t="shared" ca="1" si="24"/>
        <v>-1</v>
      </c>
      <c r="C518">
        <f t="shared" ca="1" si="25"/>
        <v>-1</v>
      </c>
      <c r="D518">
        <v>0.01</v>
      </c>
      <c r="E518">
        <f t="shared" ca="1" si="26"/>
        <v>0.01</v>
      </c>
    </row>
    <row r="519" spans="1:5" x14ac:dyDescent="0.25">
      <c r="A519">
        <v>518</v>
      </c>
      <c r="B519">
        <f t="shared" ca="1" si="24"/>
        <v>1</v>
      </c>
      <c r="C519">
        <f t="shared" ca="1" si="25"/>
        <v>2</v>
      </c>
      <c r="D519">
        <v>0.01</v>
      </c>
      <c r="E519">
        <f t="shared" ca="1" si="26"/>
        <v>0.02</v>
      </c>
    </row>
    <row r="520" spans="1:5" x14ac:dyDescent="0.25">
      <c r="A520">
        <v>519</v>
      </c>
      <c r="B520">
        <f t="shared" ca="1" si="24"/>
        <v>-1</v>
      </c>
      <c r="C520">
        <f t="shared" ca="1" si="25"/>
        <v>-1</v>
      </c>
      <c r="D520">
        <v>0.01</v>
      </c>
      <c r="E520">
        <f t="shared" ca="1" si="26"/>
        <v>0.01</v>
      </c>
    </row>
    <row r="521" spans="1:5" x14ac:dyDescent="0.25">
      <c r="A521">
        <v>520</v>
      </c>
      <c r="B521">
        <f t="shared" ca="1" si="24"/>
        <v>1</v>
      </c>
      <c r="C521">
        <f t="shared" ca="1" si="25"/>
        <v>2</v>
      </c>
      <c r="D521">
        <v>0.01</v>
      </c>
      <c r="E521">
        <f t="shared" ca="1" si="26"/>
        <v>0.02</v>
      </c>
    </row>
    <row r="522" spans="1:5" x14ac:dyDescent="0.25">
      <c r="A522">
        <v>521</v>
      </c>
      <c r="B522">
        <f t="shared" ca="1" si="24"/>
        <v>-1</v>
      </c>
      <c r="C522">
        <f t="shared" ca="1" si="25"/>
        <v>-1</v>
      </c>
      <c r="D522">
        <v>0.01</v>
      </c>
      <c r="E522">
        <f t="shared" ca="1" si="26"/>
        <v>0.01</v>
      </c>
    </row>
    <row r="523" spans="1:5" x14ac:dyDescent="0.25">
      <c r="A523">
        <v>522</v>
      </c>
      <c r="B523">
        <f t="shared" ca="1" si="24"/>
        <v>-1</v>
      </c>
      <c r="C523">
        <f t="shared" ca="1" si="25"/>
        <v>-1</v>
      </c>
      <c r="D523">
        <v>0.01</v>
      </c>
      <c r="E523">
        <f t="shared" ca="1" si="26"/>
        <v>0.01</v>
      </c>
    </row>
    <row r="524" spans="1:5" x14ac:dyDescent="0.25">
      <c r="A524">
        <v>523</v>
      </c>
      <c r="B524">
        <f t="shared" ca="1" si="24"/>
        <v>1</v>
      </c>
      <c r="C524">
        <f t="shared" ca="1" si="25"/>
        <v>2</v>
      </c>
      <c r="D524">
        <v>0.01</v>
      </c>
      <c r="E524">
        <f t="shared" ca="1" si="26"/>
        <v>0.02</v>
      </c>
    </row>
    <row r="525" spans="1:5" x14ac:dyDescent="0.25">
      <c r="A525">
        <v>524</v>
      </c>
      <c r="B525">
        <f t="shared" ca="1" si="24"/>
        <v>-1</v>
      </c>
      <c r="C525">
        <f t="shared" ca="1" si="25"/>
        <v>-1</v>
      </c>
      <c r="D525">
        <v>0.01</v>
      </c>
      <c r="E525">
        <f t="shared" ca="1" si="26"/>
        <v>0.01</v>
      </c>
    </row>
    <row r="526" spans="1:5" x14ac:dyDescent="0.25">
      <c r="A526">
        <v>525</v>
      </c>
      <c r="B526">
        <f t="shared" ca="1" si="24"/>
        <v>-1</v>
      </c>
      <c r="C526">
        <f t="shared" ca="1" si="25"/>
        <v>-1</v>
      </c>
      <c r="D526">
        <v>0.01</v>
      </c>
      <c r="E526">
        <f t="shared" ca="1" si="26"/>
        <v>0.01</v>
      </c>
    </row>
    <row r="527" spans="1:5" x14ac:dyDescent="0.25">
      <c r="A527">
        <v>526</v>
      </c>
      <c r="B527">
        <f t="shared" ca="1" si="24"/>
        <v>1</v>
      </c>
      <c r="C527">
        <f t="shared" ca="1" si="25"/>
        <v>2</v>
      </c>
      <c r="D527">
        <v>0.01</v>
      </c>
      <c r="E527">
        <f t="shared" ca="1" si="26"/>
        <v>0.02</v>
      </c>
    </row>
    <row r="528" spans="1:5" x14ac:dyDescent="0.25">
      <c r="A528">
        <v>527</v>
      </c>
      <c r="B528">
        <f t="shared" ca="1" si="24"/>
        <v>1</v>
      </c>
      <c r="C528">
        <f t="shared" ca="1" si="25"/>
        <v>2</v>
      </c>
      <c r="D528">
        <v>0.01</v>
      </c>
      <c r="E528">
        <f t="shared" ca="1" si="26"/>
        <v>0.02</v>
      </c>
    </row>
    <row r="529" spans="1:5" x14ac:dyDescent="0.25">
      <c r="A529">
        <v>528</v>
      </c>
      <c r="B529">
        <f t="shared" ca="1" si="24"/>
        <v>1</v>
      </c>
      <c r="C529">
        <f t="shared" ca="1" si="25"/>
        <v>2</v>
      </c>
      <c r="D529">
        <v>0.01</v>
      </c>
      <c r="E529">
        <f t="shared" ca="1" si="26"/>
        <v>0.02</v>
      </c>
    </row>
    <row r="530" spans="1:5" x14ac:dyDescent="0.25">
      <c r="A530">
        <v>529</v>
      </c>
      <c r="B530">
        <f t="shared" ca="1" si="24"/>
        <v>-1</v>
      </c>
      <c r="C530">
        <f t="shared" ca="1" si="25"/>
        <v>-1</v>
      </c>
      <c r="D530">
        <v>0.01</v>
      </c>
      <c r="E530">
        <f t="shared" ca="1" si="26"/>
        <v>0.01</v>
      </c>
    </row>
    <row r="531" spans="1:5" x14ac:dyDescent="0.25">
      <c r="A531">
        <v>530</v>
      </c>
      <c r="B531">
        <f t="shared" ca="1" si="24"/>
        <v>1</v>
      </c>
      <c r="C531">
        <f t="shared" ca="1" si="25"/>
        <v>2</v>
      </c>
      <c r="D531">
        <v>0.01</v>
      </c>
      <c r="E531">
        <f t="shared" ca="1" si="26"/>
        <v>0.02</v>
      </c>
    </row>
    <row r="532" spans="1:5" x14ac:dyDescent="0.25">
      <c r="A532">
        <v>531</v>
      </c>
      <c r="B532">
        <f t="shared" ca="1" si="24"/>
        <v>-1</v>
      </c>
      <c r="C532">
        <f t="shared" ca="1" si="25"/>
        <v>-1</v>
      </c>
      <c r="D532">
        <v>0.01</v>
      </c>
      <c r="E532">
        <f t="shared" ca="1" si="26"/>
        <v>0.01</v>
      </c>
    </row>
    <row r="533" spans="1:5" x14ac:dyDescent="0.25">
      <c r="A533">
        <v>532</v>
      </c>
      <c r="B533">
        <f t="shared" ca="1" si="24"/>
        <v>1</v>
      </c>
      <c r="C533">
        <f t="shared" ca="1" si="25"/>
        <v>2</v>
      </c>
      <c r="D533">
        <v>0.01</v>
      </c>
      <c r="E533">
        <f t="shared" ca="1" si="26"/>
        <v>0.02</v>
      </c>
    </row>
    <row r="534" spans="1:5" x14ac:dyDescent="0.25">
      <c r="A534">
        <v>533</v>
      </c>
      <c r="B534">
        <f t="shared" ca="1" si="24"/>
        <v>-1</v>
      </c>
      <c r="C534">
        <f t="shared" ca="1" si="25"/>
        <v>-1</v>
      </c>
      <c r="D534">
        <v>0.01</v>
      </c>
      <c r="E534">
        <f t="shared" ca="1" si="26"/>
        <v>0.01</v>
      </c>
    </row>
    <row r="535" spans="1:5" x14ac:dyDescent="0.25">
      <c r="A535">
        <v>534</v>
      </c>
      <c r="B535">
        <f t="shared" ca="1" si="24"/>
        <v>1</v>
      </c>
      <c r="C535">
        <f t="shared" ca="1" si="25"/>
        <v>2</v>
      </c>
      <c r="D535">
        <v>0.01</v>
      </c>
      <c r="E535">
        <f t="shared" ca="1" si="26"/>
        <v>0.02</v>
      </c>
    </row>
    <row r="536" spans="1:5" x14ac:dyDescent="0.25">
      <c r="A536">
        <v>535</v>
      </c>
      <c r="B536">
        <f t="shared" ca="1" si="24"/>
        <v>1</v>
      </c>
      <c r="C536">
        <f t="shared" ca="1" si="25"/>
        <v>2</v>
      </c>
      <c r="D536">
        <v>0.01</v>
      </c>
      <c r="E536">
        <f t="shared" ca="1" si="26"/>
        <v>0.02</v>
      </c>
    </row>
    <row r="537" spans="1:5" x14ac:dyDescent="0.25">
      <c r="A537">
        <v>536</v>
      </c>
      <c r="B537">
        <f t="shared" ca="1" si="24"/>
        <v>1</v>
      </c>
      <c r="C537">
        <f t="shared" ca="1" si="25"/>
        <v>2</v>
      </c>
      <c r="D537">
        <v>0.01</v>
      </c>
      <c r="E537">
        <f t="shared" ca="1" si="26"/>
        <v>0.02</v>
      </c>
    </row>
    <row r="538" spans="1:5" x14ac:dyDescent="0.25">
      <c r="A538">
        <v>537</v>
      </c>
      <c r="B538">
        <f t="shared" ca="1" si="24"/>
        <v>-1</v>
      </c>
      <c r="C538">
        <f t="shared" ca="1" si="25"/>
        <v>-1</v>
      </c>
      <c r="D538">
        <v>0.01</v>
      </c>
      <c r="E538">
        <f t="shared" ca="1" si="26"/>
        <v>0.01</v>
      </c>
    </row>
    <row r="539" spans="1:5" x14ac:dyDescent="0.25">
      <c r="A539">
        <v>538</v>
      </c>
      <c r="B539">
        <f t="shared" ca="1" si="24"/>
        <v>-1</v>
      </c>
      <c r="C539">
        <f t="shared" ca="1" si="25"/>
        <v>-1</v>
      </c>
      <c r="D539">
        <v>0.01</v>
      </c>
      <c r="E539">
        <f t="shared" ca="1" si="26"/>
        <v>0.01</v>
      </c>
    </row>
    <row r="540" spans="1:5" x14ac:dyDescent="0.25">
      <c r="A540">
        <v>539</v>
      </c>
      <c r="B540">
        <f t="shared" ca="1" si="24"/>
        <v>1</v>
      </c>
      <c r="C540">
        <f t="shared" ca="1" si="25"/>
        <v>2</v>
      </c>
      <c r="D540">
        <v>0.01</v>
      </c>
      <c r="E540">
        <f t="shared" ca="1" si="26"/>
        <v>0.02</v>
      </c>
    </row>
    <row r="541" spans="1:5" x14ac:dyDescent="0.25">
      <c r="A541">
        <v>540</v>
      </c>
      <c r="B541">
        <f t="shared" ca="1" si="24"/>
        <v>-1</v>
      </c>
      <c r="C541">
        <f t="shared" ca="1" si="25"/>
        <v>-1</v>
      </c>
      <c r="D541">
        <v>0.01</v>
      </c>
      <c r="E541">
        <f t="shared" ca="1" si="26"/>
        <v>0.01</v>
      </c>
    </row>
    <row r="542" spans="1:5" x14ac:dyDescent="0.25">
      <c r="A542">
        <v>541</v>
      </c>
      <c r="B542">
        <f t="shared" ca="1" si="24"/>
        <v>1</v>
      </c>
      <c r="C542">
        <f t="shared" ca="1" si="25"/>
        <v>2</v>
      </c>
      <c r="D542">
        <v>0.01</v>
      </c>
      <c r="E542">
        <f t="shared" ca="1" si="26"/>
        <v>0.02</v>
      </c>
    </row>
    <row r="543" spans="1:5" x14ac:dyDescent="0.25">
      <c r="A543">
        <v>542</v>
      </c>
      <c r="B543">
        <f t="shared" ca="1" si="24"/>
        <v>1</v>
      </c>
      <c r="C543">
        <f t="shared" ca="1" si="25"/>
        <v>2</v>
      </c>
      <c r="D543">
        <v>0.01</v>
      </c>
      <c r="E543">
        <f t="shared" ca="1" si="26"/>
        <v>0.02</v>
      </c>
    </row>
    <row r="544" spans="1:5" x14ac:dyDescent="0.25">
      <c r="A544">
        <v>543</v>
      </c>
      <c r="B544">
        <f t="shared" ca="1" si="24"/>
        <v>-1</v>
      </c>
      <c r="C544">
        <f t="shared" ca="1" si="25"/>
        <v>-1</v>
      </c>
      <c r="D544">
        <v>0.01</v>
      </c>
      <c r="E544">
        <f t="shared" ca="1" si="26"/>
        <v>0.01</v>
      </c>
    </row>
    <row r="545" spans="1:5" x14ac:dyDescent="0.25">
      <c r="A545">
        <v>544</v>
      </c>
      <c r="B545">
        <f t="shared" ca="1" si="24"/>
        <v>1</v>
      </c>
      <c r="C545">
        <f t="shared" ca="1" si="25"/>
        <v>2</v>
      </c>
      <c r="D545">
        <v>0.01</v>
      </c>
      <c r="E545">
        <f t="shared" ca="1" si="26"/>
        <v>0.02</v>
      </c>
    </row>
    <row r="546" spans="1:5" x14ac:dyDescent="0.25">
      <c r="A546">
        <v>545</v>
      </c>
      <c r="B546">
        <f t="shared" ca="1" si="24"/>
        <v>-1</v>
      </c>
      <c r="C546">
        <f t="shared" ca="1" si="25"/>
        <v>-1</v>
      </c>
      <c r="D546">
        <v>0.01</v>
      </c>
      <c r="E546">
        <f t="shared" ca="1" si="26"/>
        <v>0.01</v>
      </c>
    </row>
    <row r="547" spans="1:5" x14ac:dyDescent="0.25">
      <c r="A547">
        <v>546</v>
      </c>
      <c r="B547">
        <f t="shared" ca="1" si="24"/>
        <v>1</v>
      </c>
      <c r="C547">
        <f t="shared" ca="1" si="25"/>
        <v>2</v>
      </c>
      <c r="D547">
        <v>0.01</v>
      </c>
      <c r="E547">
        <f t="shared" ca="1" si="26"/>
        <v>0.02</v>
      </c>
    </row>
    <row r="548" spans="1:5" x14ac:dyDescent="0.25">
      <c r="A548">
        <v>547</v>
      </c>
      <c r="B548">
        <f t="shared" ca="1" si="24"/>
        <v>1</v>
      </c>
      <c r="C548">
        <f t="shared" ca="1" si="25"/>
        <v>2</v>
      </c>
      <c r="D548">
        <v>0.01</v>
      </c>
      <c r="E548">
        <f t="shared" ca="1" si="26"/>
        <v>0.02</v>
      </c>
    </row>
    <row r="549" spans="1:5" x14ac:dyDescent="0.25">
      <c r="A549">
        <v>548</v>
      </c>
      <c r="B549">
        <f t="shared" ca="1" si="24"/>
        <v>1</v>
      </c>
      <c r="C549">
        <f t="shared" ca="1" si="25"/>
        <v>2</v>
      </c>
      <c r="D549">
        <v>0.01</v>
      </c>
      <c r="E549">
        <f t="shared" ca="1" si="26"/>
        <v>0.02</v>
      </c>
    </row>
    <row r="550" spans="1:5" x14ac:dyDescent="0.25">
      <c r="A550">
        <v>549</v>
      </c>
      <c r="B550">
        <f t="shared" ca="1" si="24"/>
        <v>1</v>
      </c>
      <c r="C550">
        <f t="shared" ca="1" si="25"/>
        <v>2</v>
      </c>
      <c r="D550">
        <v>0.01</v>
      </c>
      <c r="E550">
        <f t="shared" ca="1" si="26"/>
        <v>0.02</v>
      </c>
    </row>
    <row r="551" spans="1:5" x14ac:dyDescent="0.25">
      <c r="A551">
        <v>550</v>
      </c>
      <c r="B551">
        <f t="shared" ca="1" si="24"/>
        <v>-1</v>
      </c>
      <c r="C551">
        <f t="shared" ca="1" si="25"/>
        <v>-1</v>
      </c>
      <c r="D551">
        <v>0.01</v>
      </c>
      <c r="E551">
        <f t="shared" ca="1" si="26"/>
        <v>0.01</v>
      </c>
    </row>
    <row r="552" spans="1:5" x14ac:dyDescent="0.25">
      <c r="A552">
        <v>551</v>
      </c>
      <c r="B552">
        <f t="shared" ca="1" si="24"/>
        <v>-1</v>
      </c>
      <c r="C552">
        <f t="shared" ca="1" si="25"/>
        <v>-1</v>
      </c>
      <c r="D552">
        <v>0.01</v>
      </c>
      <c r="E552">
        <f t="shared" ca="1" si="26"/>
        <v>0.01</v>
      </c>
    </row>
    <row r="553" spans="1:5" x14ac:dyDescent="0.25">
      <c r="A553">
        <v>552</v>
      </c>
      <c r="B553">
        <f t="shared" ca="1" si="24"/>
        <v>1</v>
      </c>
      <c r="C553">
        <f t="shared" ca="1" si="25"/>
        <v>2</v>
      </c>
      <c r="D553">
        <v>0.01</v>
      </c>
      <c r="E553">
        <f t="shared" ca="1" si="26"/>
        <v>0.02</v>
      </c>
    </row>
    <row r="554" spans="1:5" x14ac:dyDescent="0.25">
      <c r="A554">
        <v>553</v>
      </c>
      <c r="B554">
        <f t="shared" ca="1" si="24"/>
        <v>-1</v>
      </c>
      <c r="C554">
        <f t="shared" ca="1" si="25"/>
        <v>-1</v>
      </c>
      <c r="D554">
        <v>0.01</v>
      </c>
      <c r="E554">
        <f t="shared" ca="1" si="26"/>
        <v>0.01</v>
      </c>
    </row>
    <row r="555" spans="1:5" x14ac:dyDescent="0.25">
      <c r="A555">
        <v>554</v>
      </c>
      <c r="B555">
        <f t="shared" ca="1" si="24"/>
        <v>1</v>
      </c>
      <c r="C555">
        <f t="shared" ca="1" si="25"/>
        <v>2</v>
      </c>
      <c r="D555">
        <v>0.01</v>
      </c>
      <c r="E555">
        <f t="shared" ca="1" si="26"/>
        <v>0.02</v>
      </c>
    </row>
    <row r="556" spans="1:5" x14ac:dyDescent="0.25">
      <c r="A556">
        <v>555</v>
      </c>
      <c r="B556">
        <f t="shared" ca="1" si="24"/>
        <v>-1</v>
      </c>
      <c r="C556">
        <f t="shared" ca="1" si="25"/>
        <v>-1</v>
      </c>
      <c r="D556">
        <v>0.01</v>
      </c>
      <c r="E556">
        <f t="shared" ca="1" si="26"/>
        <v>0.01</v>
      </c>
    </row>
    <row r="557" spans="1:5" x14ac:dyDescent="0.25">
      <c r="A557">
        <v>556</v>
      </c>
      <c r="B557">
        <f t="shared" ca="1" si="24"/>
        <v>-1</v>
      </c>
      <c r="C557">
        <f t="shared" ca="1" si="25"/>
        <v>-1</v>
      </c>
      <c r="D557">
        <v>0.01</v>
      </c>
      <c r="E557">
        <f t="shared" ca="1" si="26"/>
        <v>0.01</v>
      </c>
    </row>
    <row r="558" spans="1:5" x14ac:dyDescent="0.25">
      <c r="A558">
        <v>557</v>
      </c>
      <c r="B558">
        <f t="shared" ca="1" si="24"/>
        <v>1</v>
      </c>
      <c r="C558">
        <f t="shared" ca="1" si="25"/>
        <v>2</v>
      </c>
      <c r="D558">
        <v>0.01</v>
      </c>
      <c r="E558">
        <f t="shared" ca="1" si="26"/>
        <v>0.02</v>
      </c>
    </row>
    <row r="559" spans="1:5" x14ac:dyDescent="0.25">
      <c r="A559">
        <v>558</v>
      </c>
      <c r="B559">
        <f t="shared" ca="1" si="24"/>
        <v>1</v>
      </c>
      <c r="C559">
        <f t="shared" ca="1" si="25"/>
        <v>2</v>
      </c>
      <c r="D559">
        <v>0.01</v>
      </c>
      <c r="E559">
        <f t="shared" ca="1" si="26"/>
        <v>0.02</v>
      </c>
    </row>
    <row r="560" spans="1:5" x14ac:dyDescent="0.25">
      <c r="A560">
        <v>559</v>
      </c>
      <c r="B560">
        <f t="shared" ca="1" si="24"/>
        <v>1</v>
      </c>
      <c r="C560">
        <f t="shared" ca="1" si="25"/>
        <v>2</v>
      </c>
      <c r="D560">
        <v>0.01</v>
      </c>
      <c r="E560">
        <f t="shared" ca="1" si="26"/>
        <v>0.02</v>
      </c>
    </row>
    <row r="561" spans="1:5" x14ac:dyDescent="0.25">
      <c r="A561">
        <v>560</v>
      </c>
      <c r="B561">
        <f t="shared" ca="1" si="24"/>
        <v>-1</v>
      </c>
      <c r="C561">
        <f t="shared" ca="1" si="25"/>
        <v>-1</v>
      </c>
      <c r="D561">
        <v>0.01</v>
      </c>
      <c r="E561">
        <f t="shared" ca="1" si="26"/>
        <v>0.01</v>
      </c>
    </row>
    <row r="562" spans="1:5" x14ac:dyDescent="0.25">
      <c r="A562">
        <v>561</v>
      </c>
      <c r="B562">
        <f t="shared" ca="1" si="24"/>
        <v>1</v>
      </c>
      <c r="C562">
        <f t="shared" ca="1" si="25"/>
        <v>2</v>
      </c>
      <c r="D562">
        <v>0.01</v>
      </c>
      <c r="E562">
        <f t="shared" ca="1" si="26"/>
        <v>0.02</v>
      </c>
    </row>
    <row r="563" spans="1:5" x14ac:dyDescent="0.25">
      <c r="A563">
        <v>562</v>
      </c>
      <c r="B563">
        <f t="shared" ca="1" si="24"/>
        <v>-1</v>
      </c>
      <c r="C563">
        <f t="shared" ca="1" si="25"/>
        <v>-1</v>
      </c>
      <c r="D563">
        <v>0.01</v>
      </c>
      <c r="E563">
        <f t="shared" ca="1" si="26"/>
        <v>0.01</v>
      </c>
    </row>
    <row r="564" spans="1:5" x14ac:dyDescent="0.25">
      <c r="A564">
        <v>563</v>
      </c>
      <c r="B564">
        <f t="shared" ca="1" si="24"/>
        <v>-1</v>
      </c>
      <c r="C564">
        <f t="shared" ca="1" si="25"/>
        <v>-1</v>
      </c>
      <c r="D564">
        <v>0.01</v>
      </c>
      <c r="E564">
        <f t="shared" ca="1" si="26"/>
        <v>0.01</v>
      </c>
    </row>
    <row r="565" spans="1:5" x14ac:dyDescent="0.25">
      <c r="A565">
        <v>564</v>
      </c>
      <c r="B565">
        <f t="shared" ca="1" si="24"/>
        <v>-1</v>
      </c>
      <c r="C565">
        <f t="shared" ca="1" si="25"/>
        <v>-1</v>
      </c>
      <c r="D565">
        <v>0.01</v>
      </c>
      <c r="E565">
        <f t="shared" ca="1" si="26"/>
        <v>0.01</v>
      </c>
    </row>
    <row r="566" spans="1:5" x14ac:dyDescent="0.25">
      <c r="A566">
        <v>565</v>
      </c>
      <c r="B566">
        <f t="shared" ca="1" si="24"/>
        <v>1</v>
      </c>
      <c r="C566">
        <f t="shared" ca="1" si="25"/>
        <v>2</v>
      </c>
      <c r="D566">
        <v>0.01</v>
      </c>
      <c r="E566">
        <f t="shared" ca="1" si="26"/>
        <v>0.02</v>
      </c>
    </row>
    <row r="567" spans="1:5" x14ac:dyDescent="0.25">
      <c r="A567">
        <v>566</v>
      </c>
      <c r="B567">
        <f t="shared" ca="1" si="24"/>
        <v>1</v>
      </c>
      <c r="C567">
        <f t="shared" ca="1" si="25"/>
        <v>2</v>
      </c>
      <c r="D567">
        <v>0.01</v>
      </c>
      <c r="E567">
        <f t="shared" ca="1" si="26"/>
        <v>0.02</v>
      </c>
    </row>
    <row r="568" spans="1:5" x14ac:dyDescent="0.25">
      <c r="A568">
        <v>567</v>
      </c>
      <c r="B568">
        <f t="shared" ca="1" si="24"/>
        <v>1</v>
      </c>
      <c r="C568">
        <f t="shared" ca="1" si="25"/>
        <v>2</v>
      </c>
      <c r="D568">
        <v>0.01</v>
      </c>
      <c r="E568">
        <f t="shared" ca="1" si="26"/>
        <v>0.02</v>
      </c>
    </row>
    <row r="569" spans="1:5" x14ac:dyDescent="0.25">
      <c r="A569">
        <v>568</v>
      </c>
      <c r="B569">
        <f t="shared" ca="1" si="24"/>
        <v>1</v>
      </c>
      <c r="C569">
        <f t="shared" ca="1" si="25"/>
        <v>2</v>
      </c>
      <c r="D569">
        <v>0.01</v>
      </c>
      <c r="E569">
        <f t="shared" ca="1" si="26"/>
        <v>0.02</v>
      </c>
    </row>
    <row r="570" spans="1:5" x14ac:dyDescent="0.25">
      <c r="A570">
        <v>569</v>
      </c>
      <c r="B570">
        <f t="shared" ca="1" si="24"/>
        <v>-1</v>
      </c>
      <c r="C570">
        <f t="shared" ca="1" si="25"/>
        <v>-1</v>
      </c>
      <c r="D570">
        <v>0.01</v>
      </c>
      <c r="E570">
        <f t="shared" ca="1" si="26"/>
        <v>0.01</v>
      </c>
    </row>
    <row r="571" spans="1:5" x14ac:dyDescent="0.25">
      <c r="A571">
        <v>570</v>
      </c>
      <c r="B571">
        <f t="shared" ca="1" si="24"/>
        <v>1</v>
      </c>
      <c r="C571">
        <f t="shared" ca="1" si="25"/>
        <v>2</v>
      </c>
      <c r="D571">
        <v>0.01</v>
      </c>
      <c r="E571">
        <f t="shared" ca="1" si="26"/>
        <v>0.02</v>
      </c>
    </row>
    <row r="572" spans="1:5" x14ac:dyDescent="0.25">
      <c r="A572">
        <v>571</v>
      </c>
      <c r="B572">
        <f t="shared" ca="1" si="24"/>
        <v>1</v>
      </c>
      <c r="C572">
        <f t="shared" ca="1" si="25"/>
        <v>2</v>
      </c>
      <c r="D572">
        <v>0.01</v>
      </c>
      <c r="E572">
        <f t="shared" ca="1" si="26"/>
        <v>0.02</v>
      </c>
    </row>
    <row r="573" spans="1:5" x14ac:dyDescent="0.25">
      <c r="A573">
        <v>572</v>
      </c>
      <c r="B573">
        <f t="shared" ca="1" si="24"/>
        <v>1</v>
      </c>
      <c r="C573">
        <f t="shared" ca="1" si="25"/>
        <v>2</v>
      </c>
      <c r="D573">
        <v>0.01</v>
      </c>
      <c r="E573">
        <f t="shared" ca="1" si="26"/>
        <v>0.02</v>
      </c>
    </row>
    <row r="574" spans="1:5" x14ac:dyDescent="0.25">
      <c r="A574">
        <v>573</v>
      </c>
      <c r="B574">
        <f t="shared" ca="1" si="24"/>
        <v>1</v>
      </c>
      <c r="C574">
        <f t="shared" ca="1" si="25"/>
        <v>2</v>
      </c>
      <c r="D574">
        <v>0.01</v>
      </c>
      <c r="E574">
        <f t="shared" ca="1" si="26"/>
        <v>0.02</v>
      </c>
    </row>
    <row r="575" spans="1:5" x14ac:dyDescent="0.25">
      <c r="A575">
        <v>574</v>
      </c>
      <c r="B575">
        <f t="shared" ca="1" si="24"/>
        <v>1</v>
      </c>
      <c r="C575">
        <f t="shared" ca="1" si="25"/>
        <v>2</v>
      </c>
      <c r="D575">
        <v>0.01</v>
      </c>
      <c r="E575">
        <f t="shared" ca="1" si="26"/>
        <v>0.02</v>
      </c>
    </row>
    <row r="576" spans="1:5" x14ac:dyDescent="0.25">
      <c r="A576">
        <v>575</v>
      </c>
      <c r="B576">
        <f t="shared" ca="1" si="24"/>
        <v>-1</v>
      </c>
      <c r="C576">
        <f t="shared" ca="1" si="25"/>
        <v>-1</v>
      </c>
      <c r="D576">
        <v>0.01</v>
      </c>
      <c r="E576">
        <f t="shared" ca="1" si="26"/>
        <v>0.01</v>
      </c>
    </row>
    <row r="577" spans="1:5" x14ac:dyDescent="0.25">
      <c r="A577">
        <v>576</v>
      </c>
      <c r="B577">
        <f t="shared" ca="1" si="24"/>
        <v>1</v>
      </c>
      <c r="C577">
        <f t="shared" ca="1" si="25"/>
        <v>2</v>
      </c>
      <c r="D577">
        <v>0.01</v>
      </c>
      <c r="E577">
        <f t="shared" ca="1" si="26"/>
        <v>0.02</v>
      </c>
    </row>
    <row r="578" spans="1:5" x14ac:dyDescent="0.25">
      <c r="A578">
        <v>577</v>
      </c>
      <c r="B578">
        <f t="shared" ref="B578:B641" ca="1" si="27">IF(RAND()&lt;0.55,1,-1)</f>
        <v>-1</v>
      </c>
      <c r="C578">
        <f t="shared" ref="C578:C641" ca="1" si="28">IF(B578=1,2,-1)</f>
        <v>-1</v>
      </c>
      <c r="D578">
        <v>0.01</v>
      </c>
      <c r="E578">
        <f t="shared" ref="E578:E641" ca="1" si="29">B578*C578*D578</f>
        <v>0.01</v>
      </c>
    </row>
    <row r="579" spans="1:5" x14ac:dyDescent="0.25">
      <c r="A579">
        <v>578</v>
      </c>
      <c r="B579">
        <f t="shared" ca="1" si="27"/>
        <v>1</v>
      </c>
      <c r="C579">
        <f t="shared" ca="1" si="28"/>
        <v>2</v>
      </c>
      <c r="D579">
        <v>0.01</v>
      </c>
      <c r="E579">
        <f t="shared" ca="1" si="29"/>
        <v>0.02</v>
      </c>
    </row>
    <row r="580" spans="1:5" x14ac:dyDescent="0.25">
      <c r="A580">
        <v>579</v>
      </c>
      <c r="B580">
        <f t="shared" ca="1" si="27"/>
        <v>1</v>
      </c>
      <c r="C580">
        <f t="shared" ca="1" si="28"/>
        <v>2</v>
      </c>
      <c r="D580">
        <v>0.01</v>
      </c>
      <c r="E580">
        <f t="shared" ca="1" si="29"/>
        <v>0.02</v>
      </c>
    </row>
    <row r="581" spans="1:5" x14ac:dyDescent="0.25">
      <c r="A581">
        <v>580</v>
      </c>
      <c r="B581">
        <f t="shared" ca="1" si="27"/>
        <v>1</v>
      </c>
      <c r="C581">
        <f t="shared" ca="1" si="28"/>
        <v>2</v>
      </c>
      <c r="D581">
        <v>0.01</v>
      </c>
      <c r="E581">
        <f t="shared" ca="1" si="29"/>
        <v>0.02</v>
      </c>
    </row>
    <row r="582" spans="1:5" x14ac:dyDescent="0.25">
      <c r="A582">
        <v>581</v>
      </c>
      <c r="B582">
        <f t="shared" ca="1" si="27"/>
        <v>1</v>
      </c>
      <c r="C582">
        <f t="shared" ca="1" si="28"/>
        <v>2</v>
      </c>
      <c r="D582">
        <v>0.01</v>
      </c>
      <c r="E582">
        <f t="shared" ca="1" si="29"/>
        <v>0.02</v>
      </c>
    </row>
    <row r="583" spans="1:5" x14ac:dyDescent="0.25">
      <c r="A583">
        <v>582</v>
      </c>
      <c r="B583">
        <f t="shared" ca="1" si="27"/>
        <v>1</v>
      </c>
      <c r="C583">
        <f t="shared" ca="1" si="28"/>
        <v>2</v>
      </c>
      <c r="D583">
        <v>0.01</v>
      </c>
      <c r="E583">
        <f t="shared" ca="1" si="29"/>
        <v>0.02</v>
      </c>
    </row>
    <row r="584" spans="1:5" x14ac:dyDescent="0.25">
      <c r="A584">
        <v>583</v>
      </c>
      <c r="B584">
        <f t="shared" ca="1" si="27"/>
        <v>-1</v>
      </c>
      <c r="C584">
        <f t="shared" ca="1" si="28"/>
        <v>-1</v>
      </c>
      <c r="D584">
        <v>0.01</v>
      </c>
      <c r="E584">
        <f t="shared" ca="1" si="29"/>
        <v>0.01</v>
      </c>
    </row>
    <row r="585" spans="1:5" x14ac:dyDescent="0.25">
      <c r="A585">
        <v>584</v>
      </c>
      <c r="B585">
        <f t="shared" ca="1" si="27"/>
        <v>1</v>
      </c>
      <c r="C585">
        <f t="shared" ca="1" si="28"/>
        <v>2</v>
      </c>
      <c r="D585">
        <v>0.01</v>
      </c>
      <c r="E585">
        <f t="shared" ca="1" si="29"/>
        <v>0.02</v>
      </c>
    </row>
    <row r="586" spans="1:5" x14ac:dyDescent="0.25">
      <c r="A586">
        <v>585</v>
      </c>
      <c r="B586">
        <f t="shared" ca="1" si="27"/>
        <v>1</v>
      </c>
      <c r="C586">
        <f t="shared" ca="1" si="28"/>
        <v>2</v>
      </c>
      <c r="D586">
        <v>0.01</v>
      </c>
      <c r="E586">
        <f t="shared" ca="1" si="29"/>
        <v>0.02</v>
      </c>
    </row>
    <row r="587" spans="1:5" x14ac:dyDescent="0.25">
      <c r="A587">
        <v>586</v>
      </c>
      <c r="B587">
        <f t="shared" ca="1" si="27"/>
        <v>1</v>
      </c>
      <c r="C587">
        <f t="shared" ca="1" si="28"/>
        <v>2</v>
      </c>
      <c r="D587">
        <v>0.01</v>
      </c>
      <c r="E587">
        <f t="shared" ca="1" si="29"/>
        <v>0.02</v>
      </c>
    </row>
    <row r="588" spans="1:5" x14ac:dyDescent="0.25">
      <c r="A588">
        <v>587</v>
      </c>
      <c r="B588">
        <f t="shared" ca="1" si="27"/>
        <v>1</v>
      </c>
      <c r="C588">
        <f t="shared" ca="1" si="28"/>
        <v>2</v>
      </c>
      <c r="D588">
        <v>0.01</v>
      </c>
      <c r="E588">
        <f t="shared" ca="1" si="29"/>
        <v>0.02</v>
      </c>
    </row>
    <row r="589" spans="1:5" x14ac:dyDescent="0.25">
      <c r="A589">
        <v>588</v>
      </c>
      <c r="B589">
        <f t="shared" ca="1" si="27"/>
        <v>1</v>
      </c>
      <c r="C589">
        <f t="shared" ca="1" si="28"/>
        <v>2</v>
      </c>
      <c r="D589">
        <v>0.01</v>
      </c>
      <c r="E589">
        <f t="shared" ca="1" si="29"/>
        <v>0.02</v>
      </c>
    </row>
    <row r="590" spans="1:5" x14ac:dyDescent="0.25">
      <c r="A590">
        <v>589</v>
      </c>
      <c r="B590">
        <f t="shared" ca="1" si="27"/>
        <v>1</v>
      </c>
      <c r="C590">
        <f t="shared" ca="1" si="28"/>
        <v>2</v>
      </c>
      <c r="D590">
        <v>0.01</v>
      </c>
      <c r="E590">
        <f t="shared" ca="1" si="29"/>
        <v>0.02</v>
      </c>
    </row>
    <row r="591" spans="1:5" x14ac:dyDescent="0.25">
      <c r="A591">
        <v>590</v>
      </c>
      <c r="B591">
        <f t="shared" ca="1" si="27"/>
        <v>1</v>
      </c>
      <c r="C591">
        <f t="shared" ca="1" si="28"/>
        <v>2</v>
      </c>
      <c r="D591">
        <v>0.01</v>
      </c>
      <c r="E591">
        <f t="shared" ca="1" si="29"/>
        <v>0.02</v>
      </c>
    </row>
    <row r="592" spans="1:5" x14ac:dyDescent="0.25">
      <c r="A592">
        <v>591</v>
      </c>
      <c r="B592">
        <f t="shared" ca="1" si="27"/>
        <v>-1</v>
      </c>
      <c r="C592">
        <f t="shared" ca="1" si="28"/>
        <v>-1</v>
      </c>
      <c r="D592">
        <v>0.01</v>
      </c>
      <c r="E592">
        <f t="shared" ca="1" si="29"/>
        <v>0.01</v>
      </c>
    </row>
    <row r="593" spans="1:5" x14ac:dyDescent="0.25">
      <c r="A593">
        <v>592</v>
      </c>
      <c r="B593">
        <f t="shared" ca="1" si="27"/>
        <v>-1</v>
      </c>
      <c r="C593">
        <f t="shared" ca="1" si="28"/>
        <v>-1</v>
      </c>
      <c r="D593">
        <v>0.01</v>
      </c>
      <c r="E593">
        <f t="shared" ca="1" si="29"/>
        <v>0.01</v>
      </c>
    </row>
    <row r="594" spans="1:5" x14ac:dyDescent="0.25">
      <c r="A594">
        <v>593</v>
      </c>
      <c r="B594">
        <f t="shared" ca="1" si="27"/>
        <v>-1</v>
      </c>
      <c r="C594">
        <f t="shared" ca="1" si="28"/>
        <v>-1</v>
      </c>
      <c r="D594">
        <v>0.01</v>
      </c>
      <c r="E594">
        <f t="shared" ca="1" si="29"/>
        <v>0.01</v>
      </c>
    </row>
    <row r="595" spans="1:5" x14ac:dyDescent="0.25">
      <c r="A595">
        <v>594</v>
      </c>
      <c r="B595">
        <f t="shared" ca="1" si="27"/>
        <v>-1</v>
      </c>
      <c r="C595">
        <f t="shared" ca="1" si="28"/>
        <v>-1</v>
      </c>
      <c r="D595">
        <v>0.01</v>
      </c>
      <c r="E595">
        <f t="shared" ca="1" si="29"/>
        <v>0.01</v>
      </c>
    </row>
    <row r="596" spans="1:5" x14ac:dyDescent="0.25">
      <c r="A596">
        <v>595</v>
      </c>
      <c r="B596">
        <f t="shared" ca="1" si="27"/>
        <v>-1</v>
      </c>
      <c r="C596">
        <f t="shared" ca="1" si="28"/>
        <v>-1</v>
      </c>
      <c r="D596">
        <v>0.01</v>
      </c>
      <c r="E596">
        <f t="shared" ca="1" si="29"/>
        <v>0.01</v>
      </c>
    </row>
    <row r="597" spans="1:5" x14ac:dyDescent="0.25">
      <c r="A597">
        <v>596</v>
      </c>
      <c r="B597">
        <f t="shared" ca="1" si="27"/>
        <v>1</v>
      </c>
      <c r="C597">
        <f t="shared" ca="1" si="28"/>
        <v>2</v>
      </c>
      <c r="D597">
        <v>0.01</v>
      </c>
      <c r="E597">
        <f t="shared" ca="1" si="29"/>
        <v>0.02</v>
      </c>
    </row>
    <row r="598" spans="1:5" x14ac:dyDescent="0.25">
      <c r="A598">
        <v>597</v>
      </c>
      <c r="B598">
        <f t="shared" ca="1" si="27"/>
        <v>1</v>
      </c>
      <c r="C598">
        <f t="shared" ca="1" si="28"/>
        <v>2</v>
      </c>
      <c r="D598">
        <v>0.01</v>
      </c>
      <c r="E598">
        <f t="shared" ca="1" si="29"/>
        <v>0.02</v>
      </c>
    </row>
    <row r="599" spans="1:5" x14ac:dyDescent="0.25">
      <c r="A599">
        <v>598</v>
      </c>
      <c r="B599">
        <f t="shared" ca="1" si="27"/>
        <v>1</v>
      </c>
      <c r="C599">
        <f t="shared" ca="1" si="28"/>
        <v>2</v>
      </c>
      <c r="D599">
        <v>0.01</v>
      </c>
      <c r="E599">
        <f t="shared" ca="1" si="29"/>
        <v>0.02</v>
      </c>
    </row>
    <row r="600" spans="1:5" x14ac:dyDescent="0.25">
      <c r="A600">
        <v>599</v>
      </c>
      <c r="B600">
        <f t="shared" ca="1" si="27"/>
        <v>-1</v>
      </c>
      <c r="C600">
        <f t="shared" ca="1" si="28"/>
        <v>-1</v>
      </c>
      <c r="D600">
        <v>0.01</v>
      </c>
      <c r="E600">
        <f t="shared" ca="1" si="29"/>
        <v>0.01</v>
      </c>
    </row>
    <row r="601" spans="1:5" x14ac:dyDescent="0.25">
      <c r="A601">
        <v>600</v>
      </c>
      <c r="B601">
        <f t="shared" ca="1" si="27"/>
        <v>1</v>
      </c>
      <c r="C601">
        <f t="shared" ca="1" si="28"/>
        <v>2</v>
      </c>
      <c r="D601">
        <v>0.01</v>
      </c>
      <c r="E601">
        <f t="shared" ca="1" si="29"/>
        <v>0.02</v>
      </c>
    </row>
    <row r="602" spans="1:5" x14ac:dyDescent="0.25">
      <c r="A602">
        <v>601</v>
      </c>
      <c r="B602">
        <f t="shared" ca="1" si="27"/>
        <v>1</v>
      </c>
      <c r="C602">
        <f t="shared" ca="1" si="28"/>
        <v>2</v>
      </c>
      <c r="D602">
        <v>0.01</v>
      </c>
      <c r="E602">
        <f t="shared" ca="1" si="29"/>
        <v>0.02</v>
      </c>
    </row>
    <row r="603" spans="1:5" x14ac:dyDescent="0.25">
      <c r="A603">
        <v>602</v>
      </c>
      <c r="B603">
        <f t="shared" ca="1" si="27"/>
        <v>-1</v>
      </c>
      <c r="C603">
        <f t="shared" ca="1" si="28"/>
        <v>-1</v>
      </c>
      <c r="D603">
        <v>0.01</v>
      </c>
      <c r="E603">
        <f t="shared" ca="1" si="29"/>
        <v>0.01</v>
      </c>
    </row>
    <row r="604" spans="1:5" x14ac:dyDescent="0.25">
      <c r="A604">
        <v>603</v>
      </c>
      <c r="B604">
        <f t="shared" ca="1" si="27"/>
        <v>1</v>
      </c>
      <c r="C604">
        <f t="shared" ca="1" si="28"/>
        <v>2</v>
      </c>
      <c r="D604">
        <v>0.01</v>
      </c>
      <c r="E604">
        <f t="shared" ca="1" si="29"/>
        <v>0.02</v>
      </c>
    </row>
    <row r="605" spans="1:5" x14ac:dyDescent="0.25">
      <c r="A605">
        <v>604</v>
      </c>
      <c r="B605">
        <f t="shared" ca="1" si="27"/>
        <v>-1</v>
      </c>
      <c r="C605">
        <f t="shared" ca="1" si="28"/>
        <v>-1</v>
      </c>
      <c r="D605">
        <v>0.01</v>
      </c>
      <c r="E605">
        <f t="shared" ca="1" si="29"/>
        <v>0.01</v>
      </c>
    </row>
    <row r="606" spans="1:5" x14ac:dyDescent="0.25">
      <c r="A606">
        <v>605</v>
      </c>
      <c r="B606">
        <f t="shared" ca="1" si="27"/>
        <v>-1</v>
      </c>
      <c r="C606">
        <f t="shared" ca="1" si="28"/>
        <v>-1</v>
      </c>
      <c r="D606">
        <v>0.01</v>
      </c>
      <c r="E606">
        <f t="shared" ca="1" si="29"/>
        <v>0.01</v>
      </c>
    </row>
    <row r="607" spans="1:5" x14ac:dyDescent="0.25">
      <c r="A607">
        <v>606</v>
      </c>
      <c r="B607">
        <f t="shared" ca="1" si="27"/>
        <v>-1</v>
      </c>
      <c r="C607">
        <f t="shared" ca="1" si="28"/>
        <v>-1</v>
      </c>
      <c r="D607">
        <v>0.01</v>
      </c>
      <c r="E607">
        <f t="shared" ca="1" si="29"/>
        <v>0.01</v>
      </c>
    </row>
    <row r="608" spans="1:5" x14ac:dyDescent="0.25">
      <c r="A608">
        <v>607</v>
      </c>
      <c r="B608">
        <f t="shared" ca="1" si="27"/>
        <v>1</v>
      </c>
      <c r="C608">
        <f t="shared" ca="1" si="28"/>
        <v>2</v>
      </c>
      <c r="D608">
        <v>0.01</v>
      </c>
      <c r="E608">
        <f t="shared" ca="1" si="29"/>
        <v>0.02</v>
      </c>
    </row>
    <row r="609" spans="1:5" x14ac:dyDescent="0.25">
      <c r="A609">
        <v>608</v>
      </c>
      <c r="B609">
        <f t="shared" ca="1" si="27"/>
        <v>-1</v>
      </c>
      <c r="C609">
        <f t="shared" ca="1" si="28"/>
        <v>-1</v>
      </c>
      <c r="D609">
        <v>0.01</v>
      </c>
      <c r="E609">
        <f t="shared" ca="1" si="29"/>
        <v>0.01</v>
      </c>
    </row>
    <row r="610" spans="1:5" x14ac:dyDescent="0.25">
      <c r="A610">
        <v>609</v>
      </c>
      <c r="B610">
        <f t="shared" ca="1" si="27"/>
        <v>1</v>
      </c>
      <c r="C610">
        <f t="shared" ca="1" si="28"/>
        <v>2</v>
      </c>
      <c r="D610">
        <v>0.01</v>
      </c>
      <c r="E610">
        <f t="shared" ca="1" si="29"/>
        <v>0.02</v>
      </c>
    </row>
    <row r="611" spans="1:5" x14ac:dyDescent="0.25">
      <c r="A611">
        <v>610</v>
      </c>
      <c r="B611">
        <f t="shared" ca="1" si="27"/>
        <v>-1</v>
      </c>
      <c r="C611">
        <f t="shared" ca="1" si="28"/>
        <v>-1</v>
      </c>
      <c r="D611">
        <v>0.01</v>
      </c>
      <c r="E611">
        <f t="shared" ca="1" si="29"/>
        <v>0.01</v>
      </c>
    </row>
    <row r="612" spans="1:5" x14ac:dyDescent="0.25">
      <c r="A612">
        <v>611</v>
      </c>
      <c r="B612">
        <f t="shared" ca="1" si="27"/>
        <v>-1</v>
      </c>
      <c r="C612">
        <f t="shared" ca="1" si="28"/>
        <v>-1</v>
      </c>
      <c r="D612">
        <v>0.01</v>
      </c>
      <c r="E612">
        <f t="shared" ca="1" si="29"/>
        <v>0.01</v>
      </c>
    </row>
    <row r="613" spans="1:5" x14ac:dyDescent="0.25">
      <c r="A613">
        <v>612</v>
      </c>
      <c r="B613">
        <f t="shared" ca="1" si="27"/>
        <v>1</v>
      </c>
      <c r="C613">
        <f t="shared" ca="1" si="28"/>
        <v>2</v>
      </c>
      <c r="D613">
        <v>0.01</v>
      </c>
      <c r="E613">
        <f t="shared" ca="1" si="29"/>
        <v>0.02</v>
      </c>
    </row>
    <row r="614" spans="1:5" x14ac:dyDescent="0.25">
      <c r="A614">
        <v>613</v>
      </c>
      <c r="B614">
        <f t="shared" ca="1" si="27"/>
        <v>1</v>
      </c>
      <c r="C614">
        <f t="shared" ca="1" si="28"/>
        <v>2</v>
      </c>
      <c r="D614">
        <v>0.01</v>
      </c>
      <c r="E614">
        <f t="shared" ca="1" si="29"/>
        <v>0.02</v>
      </c>
    </row>
    <row r="615" spans="1:5" x14ac:dyDescent="0.25">
      <c r="A615">
        <v>614</v>
      </c>
      <c r="B615">
        <f t="shared" ca="1" si="27"/>
        <v>-1</v>
      </c>
      <c r="C615">
        <f t="shared" ca="1" si="28"/>
        <v>-1</v>
      </c>
      <c r="D615">
        <v>0.01</v>
      </c>
      <c r="E615">
        <f t="shared" ca="1" si="29"/>
        <v>0.01</v>
      </c>
    </row>
    <row r="616" spans="1:5" x14ac:dyDescent="0.25">
      <c r="A616">
        <v>615</v>
      </c>
      <c r="B616">
        <f t="shared" ca="1" si="27"/>
        <v>1</v>
      </c>
      <c r="C616">
        <f t="shared" ca="1" si="28"/>
        <v>2</v>
      </c>
      <c r="D616">
        <v>0.01</v>
      </c>
      <c r="E616">
        <f t="shared" ca="1" si="29"/>
        <v>0.02</v>
      </c>
    </row>
    <row r="617" spans="1:5" x14ac:dyDescent="0.25">
      <c r="A617">
        <v>616</v>
      </c>
      <c r="B617">
        <f t="shared" ca="1" si="27"/>
        <v>1</v>
      </c>
      <c r="C617">
        <f t="shared" ca="1" si="28"/>
        <v>2</v>
      </c>
      <c r="D617">
        <v>0.01</v>
      </c>
      <c r="E617">
        <f t="shared" ca="1" si="29"/>
        <v>0.02</v>
      </c>
    </row>
    <row r="618" spans="1:5" x14ac:dyDescent="0.25">
      <c r="A618">
        <v>617</v>
      </c>
      <c r="B618">
        <f t="shared" ca="1" si="27"/>
        <v>1</v>
      </c>
      <c r="C618">
        <f t="shared" ca="1" si="28"/>
        <v>2</v>
      </c>
      <c r="D618">
        <v>0.01</v>
      </c>
      <c r="E618">
        <f t="shared" ca="1" si="29"/>
        <v>0.02</v>
      </c>
    </row>
    <row r="619" spans="1:5" x14ac:dyDescent="0.25">
      <c r="A619">
        <v>618</v>
      </c>
      <c r="B619">
        <f t="shared" ca="1" si="27"/>
        <v>1</v>
      </c>
      <c r="C619">
        <f t="shared" ca="1" si="28"/>
        <v>2</v>
      </c>
      <c r="D619">
        <v>0.01</v>
      </c>
      <c r="E619">
        <f t="shared" ca="1" si="29"/>
        <v>0.02</v>
      </c>
    </row>
    <row r="620" spans="1:5" x14ac:dyDescent="0.25">
      <c r="A620">
        <v>619</v>
      </c>
      <c r="B620">
        <f t="shared" ca="1" si="27"/>
        <v>1</v>
      </c>
      <c r="C620">
        <f t="shared" ca="1" si="28"/>
        <v>2</v>
      </c>
      <c r="D620">
        <v>0.01</v>
      </c>
      <c r="E620">
        <f t="shared" ca="1" si="29"/>
        <v>0.02</v>
      </c>
    </row>
    <row r="621" spans="1:5" x14ac:dyDescent="0.25">
      <c r="A621">
        <v>620</v>
      </c>
      <c r="B621">
        <f t="shared" ca="1" si="27"/>
        <v>-1</v>
      </c>
      <c r="C621">
        <f t="shared" ca="1" si="28"/>
        <v>-1</v>
      </c>
      <c r="D621">
        <v>0.01</v>
      </c>
      <c r="E621">
        <f t="shared" ca="1" si="29"/>
        <v>0.01</v>
      </c>
    </row>
    <row r="622" spans="1:5" x14ac:dyDescent="0.25">
      <c r="A622">
        <v>621</v>
      </c>
      <c r="B622">
        <f t="shared" ca="1" si="27"/>
        <v>-1</v>
      </c>
      <c r="C622">
        <f t="shared" ca="1" si="28"/>
        <v>-1</v>
      </c>
      <c r="D622">
        <v>0.01</v>
      </c>
      <c r="E622">
        <f t="shared" ca="1" si="29"/>
        <v>0.01</v>
      </c>
    </row>
    <row r="623" spans="1:5" x14ac:dyDescent="0.25">
      <c r="A623">
        <v>622</v>
      </c>
      <c r="B623">
        <f t="shared" ca="1" si="27"/>
        <v>-1</v>
      </c>
      <c r="C623">
        <f t="shared" ca="1" si="28"/>
        <v>-1</v>
      </c>
      <c r="D623">
        <v>0.01</v>
      </c>
      <c r="E623">
        <f t="shared" ca="1" si="29"/>
        <v>0.01</v>
      </c>
    </row>
    <row r="624" spans="1:5" x14ac:dyDescent="0.25">
      <c r="A624">
        <v>623</v>
      </c>
      <c r="B624">
        <f t="shared" ca="1" si="27"/>
        <v>1</v>
      </c>
      <c r="C624">
        <f t="shared" ca="1" si="28"/>
        <v>2</v>
      </c>
      <c r="D624">
        <v>0.01</v>
      </c>
      <c r="E624">
        <f t="shared" ca="1" si="29"/>
        <v>0.02</v>
      </c>
    </row>
    <row r="625" spans="1:5" x14ac:dyDescent="0.25">
      <c r="A625">
        <v>624</v>
      </c>
      <c r="B625">
        <f t="shared" ca="1" si="27"/>
        <v>-1</v>
      </c>
      <c r="C625">
        <f t="shared" ca="1" si="28"/>
        <v>-1</v>
      </c>
      <c r="D625">
        <v>0.01</v>
      </c>
      <c r="E625">
        <f t="shared" ca="1" si="29"/>
        <v>0.01</v>
      </c>
    </row>
    <row r="626" spans="1:5" x14ac:dyDescent="0.25">
      <c r="A626">
        <v>625</v>
      </c>
      <c r="B626">
        <f t="shared" ca="1" si="27"/>
        <v>-1</v>
      </c>
      <c r="C626">
        <f t="shared" ca="1" si="28"/>
        <v>-1</v>
      </c>
      <c r="D626">
        <v>0.01</v>
      </c>
      <c r="E626">
        <f t="shared" ca="1" si="29"/>
        <v>0.01</v>
      </c>
    </row>
    <row r="627" spans="1:5" x14ac:dyDescent="0.25">
      <c r="A627">
        <v>626</v>
      </c>
      <c r="B627">
        <f t="shared" ca="1" si="27"/>
        <v>-1</v>
      </c>
      <c r="C627">
        <f t="shared" ca="1" si="28"/>
        <v>-1</v>
      </c>
      <c r="D627">
        <v>0.01</v>
      </c>
      <c r="E627">
        <f t="shared" ca="1" si="29"/>
        <v>0.01</v>
      </c>
    </row>
    <row r="628" spans="1:5" x14ac:dyDescent="0.25">
      <c r="A628">
        <v>627</v>
      </c>
      <c r="B628">
        <f t="shared" ca="1" si="27"/>
        <v>1</v>
      </c>
      <c r="C628">
        <f t="shared" ca="1" si="28"/>
        <v>2</v>
      </c>
      <c r="D628">
        <v>0.01</v>
      </c>
      <c r="E628">
        <f t="shared" ca="1" si="29"/>
        <v>0.02</v>
      </c>
    </row>
    <row r="629" spans="1:5" x14ac:dyDescent="0.25">
      <c r="A629">
        <v>628</v>
      </c>
      <c r="B629">
        <f t="shared" ca="1" si="27"/>
        <v>1</v>
      </c>
      <c r="C629">
        <f t="shared" ca="1" si="28"/>
        <v>2</v>
      </c>
      <c r="D629">
        <v>0.01</v>
      </c>
      <c r="E629">
        <f t="shared" ca="1" si="29"/>
        <v>0.02</v>
      </c>
    </row>
    <row r="630" spans="1:5" x14ac:dyDescent="0.25">
      <c r="A630">
        <v>629</v>
      </c>
      <c r="B630">
        <f t="shared" ca="1" si="27"/>
        <v>-1</v>
      </c>
      <c r="C630">
        <f t="shared" ca="1" si="28"/>
        <v>-1</v>
      </c>
      <c r="D630">
        <v>0.01</v>
      </c>
      <c r="E630">
        <f t="shared" ca="1" si="29"/>
        <v>0.01</v>
      </c>
    </row>
    <row r="631" spans="1:5" x14ac:dyDescent="0.25">
      <c r="A631">
        <v>630</v>
      </c>
      <c r="B631">
        <f t="shared" ca="1" si="27"/>
        <v>1</v>
      </c>
      <c r="C631">
        <f t="shared" ca="1" si="28"/>
        <v>2</v>
      </c>
      <c r="D631">
        <v>0.01</v>
      </c>
      <c r="E631">
        <f t="shared" ca="1" si="29"/>
        <v>0.02</v>
      </c>
    </row>
    <row r="632" spans="1:5" x14ac:dyDescent="0.25">
      <c r="A632">
        <v>631</v>
      </c>
      <c r="B632">
        <f t="shared" ca="1" si="27"/>
        <v>1</v>
      </c>
      <c r="C632">
        <f t="shared" ca="1" si="28"/>
        <v>2</v>
      </c>
      <c r="D632">
        <v>0.01</v>
      </c>
      <c r="E632">
        <f t="shared" ca="1" si="29"/>
        <v>0.02</v>
      </c>
    </row>
    <row r="633" spans="1:5" x14ac:dyDescent="0.25">
      <c r="A633">
        <v>632</v>
      </c>
      <c r="B633">
        <f t="shared" ca="1" si="27"/>
        <v>1</v>
      </c>
      <c r="C633">
        <f t="shared" ca="1" si="28"/>
        <v>2</v>
      </c>
      <c r="D633">
        <v>0.01</v>
      </c>
      <c r="E633">
        <f t="shared" ca="1" si="29"/>
        <v>0.02</v>
      </c>
    </row>
    <row r="634" spans="1:5" x14ac:dyDescent="0.25">
      <c r="A634">
        <v>633</v>
      </c>
      <c r="B634">
        <f t="shared" ca="1" si="27"/>
        <v>1</v>
      </c>
      <c r="C634">
        <f t="shared" ca="1" si="28"/>
        <v>2</v>
      </c>
      <c r="D634">
        <v>0.01</v>
      </c>
      <c r="E634">
        <f t="shared" ca="1" si="29"/>
        <v>0.02</v>
      </c>
    </row>
    <row r="635" spans="1:5" x14ac:dyDescent="0.25">
      <c r="A635">
        <v>634</v>
      </c>
      <c r="B635">
        <f t="shared" ca="1" si="27"/>
        <v>-1</v>
      </c>
      <c r="C635">
        <f t="shared" ca="1" si="28"/>
        <v>-1</v>
      </c>
      <c r="D635">
        <v>0.01</v>
      </c>
      <c r="E635">
        <f t="shared" ca="1" si="29"/>
        <v>0.01</v>
      </c>
    </row>
    <row r="636" spans="1:5" x14ac:dyDescent="0.25">
      <c r="A636">
        <v>635</v>
      </c>
      <c r="B636">
        <f t="shared" ca="1" si="27"/>
        <v>1</v>
      </c>
      <c r="C636">
        <f t="shared" ca="1" si="28"/>
        <v>2</v>
      </c>
      <c r="D636">
        <v>0.01</v>
      </c>
      <c r="E636">
        <f t="shared" ca="1" si="29"/>
        <v>0.02</v>
      </c>
    </row>
    <row r="637" spans="1:5" x14ac:dyDescent="0.25">
      <c r="A637">
        <v>636</v>
      </c>
      <c r="B637">
        <f t="shared" ca="1" si="27"/>
        <v>-1</v>
      </c>
      <c r="C637">
        <f t="shared" ca="1" si="28"/>
        <v>-1</v>
      </c>
      <c r="D637">
        <v>0.01</v>
      </c>
      <c r="E637">
        <f t="shared" ca="1" si="29"/>
        <v>0.01</v>
      </c>
    </row>
    <row r="638" spans="1:5" x14ac:dyDescent="0.25">
      <c r="A638">
        <v>637</v>
      </c>
      <c r="B638">
        <f t="shared" ca="1" si="27"/>
        <v>1</v>
      </c>
      <c r="C638">
        <f t="shared" ca="1" si="28"/>
        <v>2</v>
      </c>
      <c r="D638">
        <v>0.01</v>
      </c>
      <c r="E638">
        <f t="shared" ca="1" si="29"/>
        <v>0.02</v>
      </c>
    </row>
    <row r="639" spans="1:5" x14ac:dyDescent="0.25">
      <c r="A639">
        <v>638</v>
      </c>
      <c r="B639">
        <f t="shared" ca="1" si="27"/>
        <v>1</v>
      </c>
      <c r="C639">
        <f t="shared" ca="1" si="28"/>
        <v>2</v>
      </c>
      <c r="D639">
        <v>0.01</v>
      </c>
      <c r="E639">
        <f t="shared" ca="1" si="29"/>
        <v>0.02</v>
      </c>
    </row>
    <row r="640" spans="1:5" x14ac:dyDescent="0.25">
      <c r="A640">
        <v>639</v>
      </c>
      <c r="B640">
        <f t="shared" ca="1" si="27"/>
        <v>1</v>
      </c>
      <c r="C640">
        <f t="shared" ca="1" si="28"/>
        <v>2</v>
      </c>
      <c r="D640">
        <v>0.01</v>
      </c>
      <c r="E640">
        <f t="shared" ca="1" si="29"/>
        <v>0.02</v>
      </c>
    </row>
    <row r="641" spans="1:5" x14ac:dyDescent="0.25">
      <c r="A641">
        <v>640</v>
      </c>
      <c r="B641">
        <f t="shared" ca="1" si="27"/>
        <v>-1</v>
      </c>
      <c r="C641">
        <f t="shared" ca="1" si="28"/>
        <v>-1</v>
      </c>
      <c r="D641">
        <v>0.01</v>
      </c>
      <c r="E641">
        <f t="shared" ca="1" si="29"/>
        <v>0.01</v>
      </c>
    </row>
    <row r="642" spans="1:5" x14ac:dyDescent="0.25">
      <c r="A642">
        <v>641</v>
      </c>
      <c r="B642">
        <f t="shared" ref="B642:B705" ca="1" si="30">IF(RAND()&lt;0.55,1,-1)</f>
        <v>-1</v>
      </c>
      <c r="C642">
        <f t="shared" ref="C642:C705" ca="1" si="31">IF(B642=1,2,-1)</f>
        <v>-1</v>
      </c>
      <c r="D642">
        <v>0.01</v>
      </c>
      <c r="E642">
        <f t="shared" ref="E642:E705" ca="1" si="32">B642*C642*D642</f>
        <v>0.01</v>
      </c>
    </row>
    <row r="643" spans="1:5" x14ac:dyDescent="0.25">
      <c r="A643">
        <v>642</v>
      </c>
      <c r="B643">
        <f t="shared" ca="1" si="30"/>
        <v>-1</v>
      </c>
      <c r="C643">
        <f t="shared" ca="1" si="31"/>
        <v>-1</v>
      </c>
      <c r="D643">
        <v>0.01</v>
      </c>
      <c r="E643">
        <f t="shared" ca="1" si="32"/>
        <v>0.01</v>
      </c>
    </row>
    <row r="644" spans="1:5" x14ac:dyDescent="0.25">
      <c r="A644">
        <v>643</v>
      </c>
      <c r="B644">
        <f t="shared" ca="1" si="30"/>
        <v>-1</v>
      </c>
      <c r="C644">
        <f t="shared" ca="1" si="31"/>
        <v>-1</v>
      </c>
      <c r="D644">
        <v>0.01</v>
      </c>
      <c r="E644">
        <f t="shared" ca="1" si="32"/>
        <v>0.01</v>
      </c>
    </row>
    <row r="645" spans="1:5" x14ac:dyDescent="0.25">
      <c r="A645">
        <v>644</v>
      </c>
      <c r="B645">
        <f t="shared" ca="1" si="30"/>
        <v>1</v>
      </c>
      <c r="C645">
        <f t="shared" ca="1" si="31"/>
        <v>2</v>
      </c>
      <c r="D645">
        <v>0.01</v>
      </c>
      <c r="E645">
        <f t="shared" ca="1" si="32"/>
        <v>0.02</v>
      </c>
    </row>
    <row r="646" spans="1:5" x14ac:dyDescent="0.25">
      <c r="A646">
        <v>645</v>
      </c>
      <c r="B646">
        <f t="shared" ca="1" si="30"/>
        <v>1</v>
      </c>
      <c r="C646">
        <f t="shared" ca="1" si="31"/>
        <v>2</v>
      </c>
      <c r="D646">
        <v>0.01</v>
      </c>
      <c r="E646">
        <f t="shared" ca="1" si="32"/>
        <v>0.02</v>
      </c>
    </row>
    <row r="647" spans="1:5" x14ac:dyDescent="0.25">
      <c r="A647">
        <v>646</v>
      </c>
      <c r="B647">
        <f t="shared" ca="1" si="30"/>
        <v>-1</v>
      </c>
      <c r="C647">
        <f t="shared" ca="1" si="31"/>
        <v>-1</v>
      </c>
      <c r="D647">
        <v>0.01</v>
      </c>
      <c r="E647">
        <f t="shared" ca="1" si="32"/>
        <v>0.01</v>
      </c>
    </row>
    <row r="648" spans="1:5" x14ac:dyDescent="0.25">
      <c r="A648">
        <v>647</v>
      </c>
      <c r="B648">
        <f t="shared" ca="1" si="30"/>
        <v>1</v>
      </c>
      <c r="C648">
        <f t="shared" ca="1" si="31"/>
        <v>2</v>
      </c>
      <c r="D648">
        <v>0.01</v>
      </c>
      <c r="E648">
        <f t="shared" ca="1" si="32"/>
        <v>0.02</v>
      </c>
    </row>
    <row r="649" spans="1:5" x14ac:dyDescent="0.25">
      <c r="A649">
        <v>648</v>
      </c>
      <c r="B649">
        <f t="shared" ca="1" si="30"/>
        <v>-1</v>
      </c>
      <c r="C649">
        <f t="shared" ca="1" si="31"/>
        <v>-1</v>
      </c>
      <c r="D649">
        <v>0.01</v>
      </c>
      <c r="E649">
        <f t="shared" ca="1" si="32"/>
        <v>0.01</v>
      </c>
    </row>
    <row r="650" spans="1:5" x14ac:dyDescent="0.25">
      <c r="A650">
        <v>649</v>
      </c>
      <c r="B650">
        <f t="shared" ca="1" si="30"/>
        <v>-1</v>
      </c>
      <c r="C650">
        <f t="shared" ca="1" si="31"/>
        <v>-1</v>
      </c>
      <c r="D650">
        <v>0.01</v>
      </c>
      <c r="E650">
        <f t="shared" ca="1" si="32"/>
        <v>0.01</v>
      </c>
    </row>
    <row r="651" spans="1:5" x14ac:dyDescent="0.25">
      <c r="A651">
        <v>650</v>
      </c>
      <c r="B651">
        <f t="shared" ca="1" si="30"/>
        <v>1</v>
      </c>
      <c r="C651">
        <f t="shared" ca="1" si="31"/>
        <v>2</v>
      </c>
      <c r="D651">
        <v>0.01</v>
      </c>
      <c r="E651">
        <f t="shared" ca="1" si="32"/>
        <v>0.02</v>
      </c>
    </row>
    <row r="652" spans="1:5" x14ac:dyDescent="0.25">
      <c r="A652">
        <v>651</v>
      </c>
      <c r="B652">
        <f t="shared" ca="1" si="30"/>
        <v>1</v>
      </c>
      <c r="C652">
        <f t="shared" ca="1" si="31"/>
        <v>2</v>
      </c>
      <c r="D652">
        <v>0.01</v>
      </c>
      <c r="E652">
        <f t="shared" ca="1" si="32"/>
        <v>0.02</v>
      </c>
    </row>
    <row r="653" spans="1:5" x14ac:dyDescent="0.25">
      <c r="A653">
        <v>652</v>
      </c>
      <c r="B653">
        <f t="shared" ca="1" si="30"/>
        <v>1</v>
      </c>
      <c r="C653">
        <f t="shared" ca="1" si="31"/>
        <v>2</v>
      </c>
      <c r="D653">
        <v>0.01</v>
      </c>
      <c r="E653">
        <f t="shared" ca="1" si="32"/>
        <v>0.02</v>
      </c>
    </row>
    <row r="654" spans="1:5" x14ac:dyDescent="0.25">
      <c r="A654">
        <v>653</v>
      </c>
      <c r="B654">
        <f t="shared" ca="1" si="30"/>
        <v>1</v>
      </c>
      <c r="C654">
        <f t="shared" ca="1" si="31"/>
        <v>2</v>
      </c>
      <c r="D654">
        <v>0.01</v>
      </c>
      <c r="E654">
        <f t="shared" ca="1" si="32"/>
        <v>0.02</v>
      </c>
    </row>
    <row r="655" spans="1:5" x14ac:dyDescent="0.25">
      <c r="A655">
        <v>654</v>
      </c>
      <c r="B655">
        <f t="shared" ca="1" si="30"/>
        <v>1</v>
      </c>
      <c r="C655">
        <f t="shared" ca="1" si="31"/>
        <v>2</v>
      </c>
      <c r="D655">
        <v>0.01</v>
      </c>
      <c r="E655">
        <f t="shared" ca="1" si="32"/>
        <v>0.02</v>
      </c>
    </row>
    <row r="656" spans="1:5" x14ac:dyDescent="0.25">
      <c r="A656">
        <v>655</v>
      </c>
      <c r="B656">
        <f t="shared" ca="1" si="30"/>
        <v>1</v>
      </c>
      <c r="C656">
        <f t="shared" ca="1" si="31"/>
        <v>2</v>
      </c>
      <c r="D656">
        <v>0.01</v>
      </c>
      <c r="E656">
        <f t="shared" ca="1" si="32"/>
        <v>0.02</v>
      </c>
    </row>
    <row r="657" spans="1:5" x14ac:dyDescent="0.25">
      <c r="A657">
        <v>656</v>
      </c>
      <c r="B657">
        <f t="shared" ca="1" si="30"/>
        <v>1</v>
      </c>
      <c r="C657">
        <f t="shared" ca="1" si="31"/>
        <v>2</v>
      </c>
      <c r="D657">
        <v>0.01</v>
      </c>
      <c r="E657">
        <f t="shared" ca="1" si="32"/>
        <v>0.02</v>
      </c>
    </row>
    <row r="658" spans="1:5" x14ac:dyDescent="0.25">
      <c r="A658">
        <v>657</v>
      </c>
      <c r="B658">
        <f t="shared" ca="1" si="30"/>
        <v>-1</v>
      </c>
      <c r="C658">
        <f t="shared" ca="1" si="31"/>
        <v>-1</v>
      </c>
      <c r="D658">
        <v>0.01</v>
      </c>
      <c r="E658">
        <f t="shared" ca="1" si="32"/>
        <v>0.01</v>
      </c>
    </row>
    <row r="659" spans="1:5" x14ac:dyDescent="0.25">
      <c r="A659">
        <v>658</v>
      </c>
      <c r="B659">
        <f t="shared" ca="1" si="30"/>
        <v>1</v>
      </c>
      <c r="C659">
        <f t="shared" ca="1" si="31"/>
        <v>2</v>
      </c>
      <c r="D659">
        <v>0.01</v>
      </c>
      <c r="E659">
        <f t="shared" ca="1" si="32"/>
        <v>0.02</v>
      </c>
    </row>
    <row r="660" spans="1:5" x14ac:dyDescent="0.25">
      <c r="A660">
        <v>659</v>
      </c>
      <c r="B660">
        <f t="shared" ca="1" si="30"/>
        <v>1</v>
      </c>
      <c r="C660">
        <f t="shared" ca="1" si="31"/>
        <v>2</v>
      </c>
      <c r="D660">
        <v>0.01</v>
      </c>
      <c r="E660">
        <f t="shared" ca="1" si="32"/>
        <v>0.02</v>
      </c>
    </row>
    <row r="661" spans="1:5" x14ac:dyDescent="0.25">
      <c r="A661">
        <v>660</v>
      </c>
      <c r="B661">
        <f t="shared" ca="1" si="30"/>
        <v>-1</v>
      </c>
      <c r="C661">
        <f t="shared" ca="1" si="31"/>
        <v>-1</v>
      </c>
      <c r="D661">
        <v>0.01</v>
      </c>
      <c r="E661">
        <f t="shared" ca="1" si="32"/>
        <v>0.01</v>
      </c>
    </row>
    <row r="662" spans="1:5" x14ac:dyDescent="0.25">
      <c r="A662">
        <v>661</v>
      </c>
      <c r="B662">
        <f t="shared" ca="1" si="30"/>
        <v>-1</v>
      </c>
      <c r="C662">
        <f t="shared" ca="1" si="31"/>
        <v>-1</v>
      </c>
      <c r="D662">
        <v>0.01</v>
      </c>
      <c r="E662">
        <f t="shared" ca="1" si="32"/>
        <v>0.01</v>
      </c>
    </row>
    <row r="663" spans="1:5" x14ac:dyDescent="0.25">
      <c r="A663">
        <v>662</v>
      </c>
      <c r="B663">
        <f t="shared" ca="1" si="30"/>
        <v>1</v>
      </c>
      <c r="C663">
        <f t="shared" ca="1" si="31"/>
        <v>2</v>
      </c>
      <c r="D663">
        <v>0.01</v>
      </c>
      <c r="E663">
        <f t="shared" ca="1" si="32"/>
        <v>0.02</v>
      </c>
    </row>
    <row r="664" spans="1:5" x14ac:dyDescent="0.25">
      <c r="A664">
        <v>663</v>
      </c>
      <c r="B664">
        <f t="shared" ca="1" si="30"/>
        <v>1</v>
      </c>
      <c r="C664">
        <f t="shared" ca="1" si="31"/>
        <v>2</v>
      </c>
      <c r="D664">
        <v>0.01</v>
      </c>
      <c r="E664">
        <f t="shared" ca="1" si="32"/>
        <v>0.02</v>
      </c>
    </row>
    <row r="665" spans="1:5" x14ac:dyDescent="0.25">
      <c r="A665">
        <v>664</v>
      </c>
      <c r="B665">
        <f t="shared" ca="1" si="30"/>
        <v>-1</v>
      </c>
      <c r="C665">
        <f t="shared" ca="1" si="31"/>
        <v>-1</v>
      </c>
      <c r="D665">
        <v>0.01</v>
      </c>
      <c r="E665">
        <f t="shared" ca="1" si="32"/>
        <v>0.01</v>
      </c>
    </row>
    <row r="666" spans="1:5" x14ac:dyDescent="0.25">
      <c r="A666">
        <v>665</v>
      </c>
      <c r="B666">
        <f t="shared" ca="1" si="30"/>
        <v>-1</v>
      </c>
      <c r="C666">
        <f t="shared" ca="1" si="31"/>
        <v>-1</v>
      </c>
      <c r="D666">
        <v>0.01</v>
      </c>
      <c r="E666">
        <f t="shared" ca="1" si="32"/>
        <v>0.01</v>
      </c>
    </row>
    <row r="667" spans="1:5" x14ac:dyDescent="0.25">
      <c r="A667">
        <v>666</v>
      </c>
      <c r="B667">
        <f t="shared" ca="1" si="30"/>
        <v>-1</v>
      </c>
      <c r="C667">
        <f t="shared" ca="1" si="31"/>
        <v>-1</v>
      </c>
      <c r="D667">
        <v>0.01</v>
      </c>
      <c r="E667">
        <f t="shared" ca="1" si="32"/>
        <v>0.01</v>
      </c>
    </row>
    <row r="668" spans="1:5" x14ac:dyDescent="0.25">
      <c r="A668">
        <v>667</v>
      </c>
      <c r="B668">
        <f t="shared" ca="1" si="30"/>
        <v>1</v>
      </c>
      <c r="C668">
        <f t="shared" ca="1" si="31"/>
        <v>2</v>
      </c>
      <c r="D668">
        <v>0.01</v>
      </c>
      <c r="E668">
        <f t="shared" ca="1" si="32"/>
        <v>0.02</v>
      </c>
    </row>
    <row r="669" spans="1:5" x14ac:dyDescent="0.25">
      <c r="A669">
        <v>668</v>
      </c>
      <c r="B669">
        <f t="shared" ca="1" si="30"/>
        <v>-1</v>
      </c>
      <c r="C669">
        <f t="shared" ca="1" si="31"/>
        <v>-1</v>
      </c>
      <c r="D669">
        <v>0.01</v>
      </c>
      <c r="E669">
        <f t="shared" ca="1" si="32"/>
        <v>0.01</v>
      </c>
    </row>
    <row r="670" spans="1:5" x14ac:dyDescent="0.25">
      <c r="A670">
        <v>669</v>
      </c>
      <c r="B670">
        <f t="shared" ca="1" si="30"/>
        <v>1</v>
      </c>
      <c r="C670">
        <f t="shared" ca="1" si="31"/>
        <v>2</v>
      </c>
      <c r="D670">
        <v>0.01</v>
      </c>
      <c r="E670">
        <f t="shared" ca="1" si="32"/>
        <v>0.02</v>
      </c>
    </row>
    <row r="671" spans="1:5" x14ac:dyDescent="0.25">
      <c r="A671">
        <v>670</v>
      </c>
      <c r="B671">
        <f t="shared" ca="1" si="30"/>
        <v>1</v>
      </c>
      <c r="C671">
        <f t="shared" ca="1" si="31"/>
        <v>2</v>
      </c>
      <c r="D671">
        <v>0.01</v>
      </c>
      <c r="E671">
        <f t="shared" ca="1" si="32"/>
        <v>0.02</v>
      </c>
    </row>
    <row r="672" spans="1:5" x14ac:dyDescent="0.25">
      <c r="A672">
        <v>671</v>
      </c>
      <c r="B672">
        <f t="shared" ca="1" si="30"/>
        <v>1</v>
      </c>
      <c r="C672">
        <f t="shared" ca="1" si="31"/>
        <v>2</v>
      </c>
      <c r="D672">
        <v>0.01</v>
      </c>
      <c r="E672">
        <f t="shared" ca="1" si="32"/>
        <v>0.02</v>
      </c>
    </row>
    <row r="673" spans="1:5" x14ac:dyDescent="0.25">
      <c r="A673">
        <v>672</v>
      </c>
      <c r="B673">
        <f t="shared" ca="1" si="30"/>
        <v>-1</v>
      </c>
      <c r="C673">
        <f t="shared" ca="1" si="31"/>
        <v>-1</v>
      </c>
      <c r="D673">
        <v>0.01</v>
      </c>
      <c r="E673">
        <f t="shared" ca="1" si="32"/>
        <v>0.01</v>
      </c>
    </row>
    <row r="674" spans="1:5" x14ac:dyDescent="0.25">
      <c r="A674">
        <v>673</v>
      </c>
      <c r="B674">
        <f t="shared" ca="1" si="30"/>
        <v>-1</v>
      </c>
      <c r="C674">
        <f t="shared" ca="1" si="31"/>
        <v>-1</v>
      </c>
      <c r="D674">
        <v>0.01</v>
      </c>
      <c r="E674">
        <f t="shared" ca="1" si="32"/>
        <v>0.01</v>
      </c>
    </row>
    <row r="675" spans="1:5" x14ac:dyDescent="0.25">
      <c r="A675">
        <v>674</v>
      </c>
      <c r="B675">
        <f t="shared" ca="1" si="30"/>
        <v>1</v>
      </c>
      <c r="C675">
        <f t="shared" ca="1" si="31"/>
        <v>2</v>
      </c>
      <c r="D675">
        <v>0.01</v>
      </c>
      <c r="E675">
        <f t="shared" ca="1" si="32"/>
        <v>0.02</v>
      </c>
    </row>
    <row r="676" spans="1:5" x14ac:dyDescent="0.25">
      <c r="A676">
        <v>675</v>
      </c>
      <c r="B676">
        <f t="shared" ca="1" si="30"/>
        <v>-1</v>
      </c>
      <c r="C676">
        <f t="shared" ca="1" si="31"/>
        <v>-1</v>
      </c>
      <c r="D676">
        <v>0.01</v>
      </c>
      <c r="E676">
        <f t="shared" ca="1" si="32"/>
        <v>0.01</v>
      </c>
    </row>
    <row r="677" spans="1:5" x14ac:dyDescent="0.25">
      <c r="A677">
        <v>676</v>
      </c>
      <c r="B677">
        <f t="shared" ca="1" si="30"/>
        <v>1</v>
      </c>
      <c r="C677">
        <f t="shared" ca="1" si="31"/>
        <v>2</v>
      </c>
      <c r="D677">
        <v>0.01</v>
      </c>
      <c r="E677">
        <f t="shared" ca="1" si="32"/>
        <v>0.02</v>
      </c>
    </row>
    <row r="678" spans="1:5" x14ac:dyDescent="0.25">
      <c r="A678">
        <v>677</v>
      </c>
      <c r="B678">
        <f t="shared" ca="1" si="30"/>
        <v>-1</v>
      </c>
      <c r="C678">
        <f t="shared" ca="1" si="31"/>
        <v>-1</v>
      </c>
      <c r="D678">
        <v>0.01</v>
      </c>
      <c r="E678">
        <f t="shared" ca="1" si="32"/>
        <v>0.01</v>
      </c>
    </row>
    <row r="679" spans="1:5" x14ac:dyDescent="0.25">
      <c r="A679">
        <v>678</v>
      </c>
      <c r="B679">
        <f t="shared" ca="1" si="30"/>
        <v>-1</v>
      </c>
      <c r="C679">
        <f t="shared" ca="1" si="31"/>
        <v>-1</v>
      </c>
      <c r="D679">
        <v>0.01</v>
      </c>
      <c r="E679">
        <f t="shared" ca="1" si="32"/>
        <v>0.01</v>
      </c>
    </row>
    <row r="680" spans="1:5" x14ac:dyDescent="0.25">
      <c r="A680">
        <v>679</v>
      </c>
      <c r="B680">
        <f t="shared" ca="1" si="30"/>
        <v>-1</v>
      </c>
      <c r="C680">
        <f t="shared" ca="1" si="31"/>
        <v>-1</v>
      </c>
      <c r="D680">
        <v>0.01</v>
      </c>
      <c r="E680">
        <f t="shared" ca="1" si="32"/>
        <v>0.01</v>
      </c>
    </row>
    <row r="681" spans="1:5" x14ac:dyDescent="0.25">
      <c r="A681">
        <v>680</v>
      </c>
      <c r="B681">
        <f t="shared" ca="1" si="30"/>
        <v>1</v>
      </c>
      <c r="C681">
        <f t="shared" ca="1" si="31"/>
        <v>2</v>
      </c>
      <c r="D681">
        <v>0.01</v>
      </c>
      <c r="E681">
        <f t="shared" ca="1" si="32"/>
        <v>0.02</v>
      </c>
    </row>
    <row r="682" spans="1:5" x14ac:dyDescent="0.25">
      <c r="A682">
        <v>681</v>
      </c>
      <c r="B682">
        <f t="shared" ca="1" si="30"/>
        <v>-1</v>
      </c>
      <c r="C682">
        <f t="shared" ca="1" si="31"/>
        <v>-1</v>
      </c>
      <c r="D682">
        <v>0.01</v>
      </c>
      <c r="E682">
        <f t="shared" ca="1" si="32"/>
        <v>0.01</v>
      </c>
    </row>
    <row r="683" spans="1:5" x14ac:dyDescent="0.25">
      <c r="A683">
        <v>682</v>
      </c>
      <c r="B683">
        <f t="shared" ca="1" si="30"/>
        <v>1</v>
      </c>
      <c r="C683">
        <f t="shared" ca="1" si="31"/>
        <v>2</v>
      </c>
      <c r="D683">
        <v>0.01</v>
      </c>
      <c r="E683">
        <f t="shared" ca="1" si="32"/>
        <v>0.02</v>
      </c>
    </row>
    <row r="684" spans="1:5" x14ac:dyDescent="0.25">
      <c r="A684">
        <v>683</v>
      </c>
      <c r="B684">
        <f t="shared" ca="1" si="30"/>
        <v>-1</v>
      </c>
      <c r="C684">
        <f t="shared" ca="1" si="31"/>
        <v>-1</v>
      </c>
      <c r="D684">
        <v>0.01</v>
      </c>
      <c r="E684">
        <f t="shared" ca="1" si="32"/>
        <v>0.01</v>
      </c>
    </row>
    <row r="685" spans="1:5" x14ac:dyDescent="0.25">
      <c r="A685">
        <v>684</v>
      </c>
      <c r="B685">
        <f t="shared" ca="1" si="30"/>
        <v>1</v>
      </c>
      <c r="C685">
        <f t="shared" ca="1" si="31"/>
        <v>2</v>
      </c>
      <c r="D685">
        <v>0.01</v>
      </c>
      <c r="E685">
        <f t="shared" ca="1" si="32"/>
        <v>0.02</v>
      </c>
    </row>
    <row r="686" spans="1:5" x14ac:dyDescent="0.25">
      <c r="A686">
        <v>685</v>
      </c>
      <c r="B686">
        <f t="shared" ca="1" si="30"/>
        <v>1</v>
      </c>
      <c r="C686">
        <f t="shared" ca="1" si="31"/>
        <v>2</v>
      </c>
      <c r="D686">
        <v>0.01</v>
      </c>
      <c r="E686">
        <f t="shared" ca="1" si="32"/>
        <v>0.02</v>
      </c>
    </row>
    <row r="687" spans="1:5" x14ac:dyDescent="0.25">
      <c r="A687">
        <v>686</v>
      </c>
      <c r="B687">
        <f t="shared" ca="1" si="30"/>
        <v>1</v>
      </c>
      <c r="C687">
        <f t="shared" ca="1" si="31"/>
        <v>2</v>
      </c>
      <c r="D687">
        <v>0.01</v>
      </c>
      <c r="E687">
        <f t="shared" ca="1" si="32"/>
        <v>0.02</v>
      </c>
    </row>
    <row r="688" spans="1:5" x14ac:dyDescent="0.25">
      <c r="A688">
        <v>687</v>
      </c>
      <c r="B688">
        <f t="shared" ca="1" si="30"/>
        <v>-1</v>
      </c>
      <c r="C688">
        <f t="shared" ca="1" si="31"/>
        <v>-1</v>
      </c>
      <c r="D688">
        <v>0.01</v>
      </c>
      <c r="E688">
        <f t="shared" ca="1" si="32"/>
        <v>0.01</v>
      </c>
    </row>
    <row r="689" spans="1:5" x14ac:dyDescent="0.25">
      <c r="A689">
        <v>688</v>
      </c>
      <c r="B689">
        <f t="shared" ca="1" si="30"/>
        <v>1</v>
      </c>
      <c r="C689">
        <f t="shared" ca="1" si="31"/>
        <v>2</v>
      </c>
      <c r="D689">
        <v>0.01</v>
      </c>
      <c r="E689">
        <f t="shared" ca="1" si="32"/>
        <v>0.02</v>
      </c>
    </row>
    <row r="690" spans="1:5" x14ac:dyDescent="0.25">
      <c r="A690">
        <v>689</v>
      </c>
      <c r="B690">
        <f t="shared" ca="1" si="30"/>
        <v>-1</v>
      </c>
      <c r="C690">
        <f t="shared" ca="1" si="31"/>
        <v>-1</v>
      </c>
      <c r="D690">
        <v>0.01</v>
      </c>
      <c r="E690">
        <f t="shared" ca="1" si="32"/>
        <v>0.01</v>
      </c>
    </row>
    <row r="691" spans="1:5" x14ac:dyDescent="0.25">
      <c r="A691">
        <v>690</v>
      </c>
      <c r="B691">
        <f t="shared" ca="1" si="30"/>
        <v>-1</v>
      </c>
      <c r="C691">
        <f t="shared" ca="1" si="31"/>
        <v>-1</v>
      </c>
      <c r="D691">
        <v>0.01</v>
      </c>
      <c r="E691">
        <f t="shared" ca="1" si="32"/>
        <v>0.01</v>
      </c>
    </row>
    <row r="692" spans="1:5" x14ac:dyDescent="0.25">
      <c r="A692">
        <v>691</v>
      </c>
      <c r="B692">
        <f t="shared" ca="1" si="30"/>
        <v>-1</v>
      </c>
      <c r="C692">
        <f t="shared" ca="1" si="31"/>
        <v>-1</v>
      </c>
      <c r="D692">
        <v>0.01</v>
      </c>
      <c r="E692">
        <f t="shared" ca="1" si="32"/>
        <v>0.01</v>
      </c>
    </row>
    <row r="693" spans="1:5" x14ac:dyDescent="0.25">
      <c r="A693">
        <v>692</v>
      </c>
      <c r="B693">
        <f t="shared" ca="1" si="30"/>
        <v>-1</v>
      </c>
      <c r="C693">
        <f t="shared" ca="1" si="31"/>
        <v>-1</v>
      </c>
      <c r="D693">
        <v>0.01</v>
      </c>
      <c r="E693">
        <f t="shared" ca="1" si="32"/>
        <v>0.01</v>
      </c>
    </row>
    <row r="694" spans="1:5" x14ac:dyDescent="0.25">
      <c r="A694">
        <v>693</v>
      </c>
      <c r="B694">
        <f t="shared" ca="1" si="30"/>
        <v>1</v>
      </c>
      <c r="C694">
        <f t="shared" ca="1" si="31"/>
        <v>2</v>
      </c>
      <c r="D694">
        <v>0.01</v>
      </c>
      <c r="E694">
        <f t="shared" ca="1" si="32"/>
        <v>0.02</v>
      </c>
    </row>
    <row r="695" spans="1:5" x14ac:dyDescent="0.25">
      <c r="A695">
        <v>694</v>
      </c>
      <c r="B695">
        <f t="shared" ca="1" si="30"/>
        <v>1</v>
      </c>
      <c r="C695">
        <f t="shared" ca="1" si="31"/>
        <v>2</v>
      </c>
      <c r="D695">
        <v>0.01</v>
      </c>
      <c r="E695">
        <f t="shared" ca="1" si="32"/>
        <v>0.02</v>
      </c>
    </row>
    <row r="696" spans="1:5" x14ac:dyDescent="0.25">
      <c r="A696">
        <v>695</v>
      </c>
      <c r="B696">
        <f t="shared" ca="1" si="30"/>
        <v>-1</v>
      </c>
      <c r="C696">
        <f t="shared" ca="1" si="31"/>
        <v>-1</v>
      </c>
      <c r="D696">
        <v>0.01</v>
      </c>
      <c r="E696">
        <f t="shared" ca="1" si="32"/>
        <v>0.01</v>
      </c>
    </row>
    <row r="697" spans="1:5" x14ac:dyDescent="0.25">
      <c r="A697">
        <v>696</v>
      </c>
      <c r="B697">
        <f t="shared" ca="1" si="30"/>
        <v>-1</v>
      </c>
      <c r="C697">
        <f t="shared" ca="1" si="31"/>
        <v>-1</v>
      </c>
      <c r="D697">
        <v>0.01</v>
      </c>
      <c r="E697">
        <f t="shared" ca="1" si="32"/>
        <v>0.01</v>
      </c>
    </row>
    <row r="698" spans="1:5" x14ac:dyDescent="0.25">
      <c r="A698">
        <v>697</v>
      </c>
      <c r="B698">
        <f t="shared" ca="1" si="30"/>
        <v>1</v>
      </c>
      <c r="C698">
        <f t="shared" ca="1" si="31"/>
        <v>2</v>
      </c>
      <c r="D698">
        <v>0.01</v>
      </c>
      <c r="E698">
        <f t="shared" ca="1" si="32"/>
        <v>0.02</v>
      </c>
    </row>
    <row r="699" spans="1:5" x14ac:dyDescent="0.25">
      <c r="A699">
        <v>698</v>
      </c>
      <c r="B699">
        <f t="shared" ca="1" si="30"/>
        <v>1</v>
      </c>
      <c r="C699">
        <f t="shared" ca="1" si="31"/>
        <v>2</v>
      </c>
      <c r="D699">
        <v>0.01</v>
      </c>
      <c r="E699">
        <f t="shared" ca="1" si="32"/>
        <v>0.02</v>
      </c>
    </row>
    <row r="700" spans="1:5" x14ac:dyDescent="0.25">
      <c r="A700">
        <v>699</v>
      </c>
      <c r="B700">
        <f t="shared" ca="1" si="30"/>
        <v>1</v>
      </c>
      <c r="C700">
        <f t="shared" ca="1" si="31"/>
        <v>2</v>
      </c>
      <c r="D700">
        <v>0.01</v>
      </c>
      <c r="E700">
        <f t="shared" ca="1" si="32"/>
        <v>0.02</v>
      </c>
    </row>
    <row r="701" spans="1:5" x14ac:dyDescent="0.25">
      <c r="A701">
        <v>700</v>
      </c>
      <c r="B701">
        <f t="shared" ca="1" si="30"/>
        <v>-1</v>
      </c>
      <c r="C701">
        <f t="shared" ca="1" si="31"/>
        <v>-1</v>
      </c>
      <c r="D701">
        <v>0.01</v>
      </c>
      <c r="E701">
        <f t="shared" ca="1" si="32"/>
        <v>0.01</v>
      </c>
    </row>
    <row r="702" spans="1:5" x14ac:dyDescent="0.25">
      <c r="A702">
        <v>701</v>
      </c>
      <c r="B702">
        <f t="shared" ca="1" si="30"/>
        <v>1</v>
      </c>
      <c r="C702">
        <f t="shared" ca="1" si="31"/>
        <v>2</v>
      </c>
      <c r="D702">
        <v>0.01</v>
      </c>
      <c r="E702">
        <f t="shared" ca="1" si="32"/>
        <v>0.02</v>
      </c>
    </row>
    <row r="703" spans="1:5" x14ac:dyDescent="0.25">
      <c r="A703">
        <v>702</v>
      </c>
      <c r="B703">
        <f t="shared" ca="1" si="30"/>
        <v>-1</v>
      </c>
      <c r="C703">
        <f t="shared" ca="1" si="31"/>
        <v>-1</v>
      </c>
      <c r="D703">
        <v>0.01</v>
      </c>
      <c r="E703">
        <f t="shared" ca="1" si="32"/>
        <v>0.01</v>
      </c>
    </row>
    <row r="704" spans="1:5" x14ac:dyDescent="0.25">
      <c r="A704">
        <v>703</v>
      </c>
      <c r="B704">
        <f t="shared" ca="1" si="30"/>
        <v>1</v>
      </c>
      <c r="C704">
        <f t="shared" ca="1" si="31"/>
        <v>2</v>
      </c>
      <c r="D704">
        <v>0.01</v>
      </c>
      <c r="E704">
        <f t="shared" ca="1" si="32"/>
        <v>0.02</v>
      </c>
    </row>
    <row r="705" spans="1:5" x14ac:dyDescent="0.25">
      <c r="A705">
        <v>704</v>
      </c>
      <c r="B705">
        <f t="shared" ca="1" si="30"/>
        <v>1</v>
      </c>
      <c r="C705">
        <f t="shared" ca="1" si="31"/>
        <v>2</v>
      </c>
      <c r="D705">
        <v>0.01</v>
      </c>
      <c r="E705">
        <f t="shared" ca="1" si="32"/>
        <v>0.02</v>
      </c>
    </row>
    <row r="706" spans="1:5" x14ac:dyDescent="0.25">
      <c r="A706">
        <v>705</v>
      </c>
      <c r="B706">
        <f t="shared" ref="B706:B769" ca="1" si="33">IF(RAND()&lt;0.55,1,-1)</f>
        <v>-1</v>
      </c>
      <c r="C706">
        <f t="shared" ref="C706:C769" ca="1" si="34">IF(B706=1,2,-1)</f>
        <v>-1</v>
      </c>
      <c r="D706">
        <v>0.01</v>
      </c>
      <c r="E706">
        <f t="shared" ref="E706:E769" ca="1" si="35">B706*C706*D706</f>
        <v>0.01</v>
      </c>
    </row>
    <row r="707" spans="1:5" x14ac:dyDescent="0.25">
      <c r="A707">
        <v>706</v>
      </c>
      <c r="B707">
        <f t="shared" ca="1" si="33"/>
        <v>-1</v>
      </c>
      <c r="C707">
        <f t="shared" ca="1" si="34"/>
        <v>-1</v>
      </c>
      <c r="D707">
        <v>0.01</v>
      </c>
      <c r="E707">
        <f t="shared" ca="1" si="35"/>
        <v>0.01</v>
      </c>
    </row>
    <row r="708" spans="1:5" x14ac:dyDescent="0.25">
      <c r="A708">
        <v>707</v>
      </c>
      <c r="B708">
        <f t="shared" ca="1" si="33"/>
        <v>1</v>
      </c>
      <c r="C708">
        <f t="shared" ca="1" si="34"/>
        <v>2</v>
      </c>
      <c r="D708">
        <v>0.01</v>
      </c>
      <c r="E708">
        <f t="shared" ca="1" si="35"/>
        <v>0.02</v>
      </c>
    </row>
    <row r="709" spans="1:5" x14ac:dyDescent="0.25">
      <c r="A709">
        <v>708</v>
      </c>
      <c r="B709">
        <f t="shared" ca="1" si="33"/>
        <v>-1</v>
      </c>
      <c r="C709">
        <f t="shared" ca="1" si="34"/>
        <v>-1</v>
      </c>
      <c r="D709">
        <v>0.01</v>
      </c>
      <c r="E709">
        <f t="shared" ca="1" si="35"/>
        <v>0.01</v>
      </c>
    </row>
    <row r="710" spans="1:5" x14ac:dyDescent="0.25">
      <c r="A710">
        <v>709</v>
      </c>
      <c r="B710">
        <f t="shared" ca="1" si="33"/>
        <v>-1</v>
      </c>
      <c r="C710">
        <f t="shared" ca="1" si="34"/>
        <v>-1</v>
      </c>
      <c r="D710">
        <v>0.01</v>
      </c>
      <c r="E710">
        <f t="shared" ca="1" si="35"/>
        <v>0.01</v>
      </c>
    </row>
    <row r="711" spans="1:5" x14ac:dyDescent="0.25">
      <c r="A711">
        <v>710</v>
      </c>
      <c r="B711">
        <f t="shared" ca="1" si="33"/>
        <v>-1</v>
      </c>
      <c r="C711">
        <f t="shared" ca="1" si="34"/>
        <v>-1</v>
      </c>
      <c r="D711">
        <v>0.01</v>
      </c>
      <c r="E711">
        <f t="shared" ca="1" si="35"/>
        <v>0.01</v>
      </c>
    </row>
    <row r="712" spans="1:5" x14ac:dyDescent="0.25">
      <c r="A712">
        <v>711</v>
      </c>
      <c r="B712">
        <f t="shared" ca="1" si="33"/>
        <v>-1</v>
      </c>
      <c r="C712">
        <f t="shared" ca="1" si="34"/>
        <v>-1</v>
      </c>
      <c r="D712">
        <v>0.01</v>
      </c>
      <c r="E712">
        <f t="shared" ca="1" si="35"/>
        <v>0.01</v>
      </c>
    </row>
    <row r="713" spans="1:5" x14ac:dyDescent="0.25">
      <c r="A713">
        <v>712</v>
      </c>
      <c r="B713">
        <f t="shared" ca="1" si="33"/>
        <v>-1</v>
      </c>
      <c r="C713">
        <f t="shared" ca="1" si="34"/>
        <v>-1</v>
      </c>
      <c r="D713">
        <v>0.01</v>
      </c>
      <c r="E713">
        <f t="shared" ca="1" si="35"/>
        <v>0.01</v>
      </c>
    </row>
    <row r="714" spans="1:5" x14ac:dyDescent="0.25">
      <c r="A714">
        <v>713</v>
      </c>
      <c r="B714">
        <f t="shared" ca="1" si="33"/>
        <v>1</v>
      </c>
      <c r="C714">
        <f t="shared" ca="1" si="34"/>
        <v>2</v>
      </c>
      <c r="D714">
        <v>0.01</v>
      </c>
      <c r="E714">
        <f t="shared" ca="1" si="35"/>
        <v>0.02</v>
      </c>
    </row>
    <row r="715" spans="1:5" x14ac:dyDescent="0.25">
      <c r="A715">
        <v>714</v>
      </c>
      <c r="B715">
        <f t="shared" ca="1" si="33"/>
        <v>1</v>
      </c>
      <c r="C715">
        <f t="shared" ca="1" si="34"/>
        <v>2</v>
      </c>
      <c r="D715">
        <v>0.01</v>
      </c>
      <c r="E715">
        <f t="shared" ca="1" si="35"/>
        <v>0.02</v>
      </c>
    </row>
    <row r="716" spans="1:5" x14ac:dyDescent="0.25">
      <c r="A716">
        <v>715</v>
      </c>
      <c r="B716">
        <f t="shared" ca="1" si="33"/>
        <v>1</v>
      </c>
      <c r="C716">
        <f t="shared" ca="1" si="34"/>
        <v>2</v>
      </c>
      <c r="D716">
        <v>0.01</v>
      </c>
      <c r="E716">
        <f t="shared" ca="1" si="35"/>
        <v>0.02</v>
      </c>
    </row>
    <row r="717" spans="1:5" x14ac:dyDescent="0.25">
      <c r="A717">
        <v>716</v>
      </c>
      <c r="B717">
        <f t="shared" ca="1" si="33"/>
        <v>-1</v>
      </c>
      <c r="C717">
        <f t="shared" ca="1" si="34"/>
        <v>-1</v>
      </c>
      <c r="D717">
        <v>0.01</v>
      </c>
      <c r="E717">
        <f t="shared" ca="1" si="35"/>
        <v>0.01</v>
      </c>
    </row>
    <row r="718" spans="1:5" x14ac:dyDescent="0.25">
      <c r="A718">
        <v>717</v>
      </c>
      <c r="B718">
        <f t="shared" ca="1" si="33"/>
        <v>1</v>
      </c>
      <c r="C718">
        <f t="shared" ca="1" si="34"/>
        <v>2</v>
      </c>
      <c r="D718">
        <v>0.01</v>
      </c>
      <c r="E718">
        <f t="shared" ca="1" si="35"/>
        <v>0.02</v>
      </c>
    </row>
    <row r="719" spans="1:5" x14ac:dyDescent="0.25">
      <c r="A719">
        <v>718</v>
      </c>
      <c r="B719">
        <f t="shared" ca="1" si="33"/>
        <v>-1</v>
      </c>
      <c r="C719">
        <f t="shared" ca="1" si="34"/>
        <v>-1</v>
      </c>
      <c r="D719">
        <v>0.01</v>
      </c>
      <c r="E719">
        <f t="shared" ca="1" si="35"/>
        <v>0.01</v>
      </c>
    </row>
    <row r="720" spans="1:5" x14ac:dyDescent="0.25">
      <c r="A720">
        <v>719</v>
      </c>
      <c r="B720">
        <f t="shared" ca="1" si="33"/>
        <v>-1</v>
      </c>
      <c r="C720">
        <f t="shared" ca="1" si="34"/>
        <v>-1</v>
      </c>
      <c r="D720">
        <v>0.01</v>
      </c>
      <c r="E720">
        <f t="shared" ca="1" si="35"/>
        <v>0.01</v>
      </c>
    </row>
    <row r="721" spans="1:5" x14ac:dyDescent="0.25">
      <c r="A721">
        <v>720</v>
      </c>
      <c r="B721">
        <f t="shared" ca="1" si="33"/>
        <v>-1</v>
      </c>
      <c r="C721">
        <f t="shared" ca="1" si="34"/>
        <v>-1</v>
      </c>
      <c r="D721">
        <v>0.01</v>
      </c>
      <c r="E721">
        <f t="shared" ca="1" si="35"/>
        <v>0.01</v>
      </c>
    </row>
    <row r="722" spans="1:5" x14ac:dyDescent="0.25">
      <c r="A722">
        <v>721</v>
      </c>
      <c r="B722">
        <f t="shared" ca="1" si="33"/>
        <v>1</v>
      </c>
      <c r="C722">
        <f t="shared" ca="1" si="34"/>
        <v>2</v>
      </c>
      <c r="D722">
        <v>0.01</v>
      </c>
      <c r="E722">
        <f t="shared" ca="1" si="35"/>
        <v>0.02</v>
      </c>
    </row>
    <row r="723" spans="1:5" x14ac:dyDescent="0.25">
      <c r="A723">
        <v>722</v>
      </c>
      <c r="B723">
        <f t="shared" ca="1" si="33"/>
        <v>-1</v>
      </c>
      <c r="C723">
        <f t="shared" ca="1" si="34"/>
        <v>-1</v>
      </c>
      <c r="D723">
        <v>0.01</v>
      </c>
      <c r="E723">
        <f t="shared" ca="1" si="35"/>
        <v>0.01</v>
      </c>
    </row>
    <row r="724" spans="1:5" x14ac:dyDescent="0.25">
      <c r="A724">
        <v>723</v>
      </c>
      <c r="B724">
        <f t="shared" ca="1" si="33"/>
        <v>-1</v>
      </c>
      <c r="C724">
        <f t="shared" ca="1" si="34"/>
        <v>-1</v>
      </c>
      <c r="D724">
        <v>0.01</v>
      </c>
      <c r="E724">
        <f t="shared" ca="1" si="35"/>
        <v>0.01</v>
      </c>
    </row>
    <row r="725" spans="1:5" x14ac:dyDescent="0.25">
      <c r="A725">
        <v>724</v>
      </c>
      <c r="B725">
        <f t="shared" ca="1" si="33"/>
        <v>1</v>
      </c>
      <c r="C725">
        <f t="shared" ca="1" si="34"/>
        <v>2</v>
      </c>
      <c r="D725">
        <v>0.01</v>
      </c>
      <c r="E725">
        <f t="shared" ca="1" si="35"/>
        <v>0.02</v>
      </c>
    </row>
    <row r="726" spans="1:5" x14ac:dyDescent="0.25">
      <c r="A726">
        <v>725</v>
      </c>
      <c r="B726">
        <f t="shared" ca="1" si="33"/>
        <v>1</v>
      </c>
      <c r="C726">
        <f t="shared" ca="1" si="34"/>
        <v>2</v>
      </c>
      <c r="D726">
        <v>0.01</v>
      </c>
      <c r="E726">
        <f t="shared" ca="1" si="35"/>
        <v>0.02</v>
      </c>
    </row>
    <row r="727" spans="1:5" x14ac:dyDescent="0.25">
      <c r="A727">
        <v>726</v>
      </c>
      <c r="B727">
        <f t="shared" ca="1" si="33"/>
        <v>-1</v>
      </c>
      <c r="C727">
        <f t="shared" ca="1" si="34"/>
        <v>-1</v>
      </c>
      <c r="D727">
        <v>0.01</v>
      </c>
      <c r="E727">
        <f t="shared" ca="1" si="35"/>
        <v>0.01</v>
      </c>
    </row>
    <row r="728" spans="1:5" x14ac:dyDescent="0.25">
      <c r="A728">
        <v>727</v>
      </c>
      <c r="B728">
        <f t="shared" ca="1" si="33"/>
        <v>1</v>
      </c>
      <c r="C728">
        <f t="shared" ca="1" si="34"/>
        <v>2</v>
      </c>
      <c r="D728">
        <v>0.01</v>
      </c>
      <c r="E728">
        <f t="shared" ca="1" si="35"/>
        <v>0.02</v>
      </c>
    </row>
    <row r="729" spans="1:5" x14ac:dyDescent="0.25">
      <c r="A729">
        <v>728</v>
      </c>
      <c r="B729">
        <f t="shared" ca="1" si="33"/>
        <v>1</v>
      </c>
      <c r="C729">
        <f t="shared" ca="1" si="34"/>
        <v>2</v>
      </c>
      <c r="D729">
        <v>0.01</v>
      </c>
      <c r="E729">
        <f t="shared" ca="1" si="35"/>
        <v>0.02</v>
      </c>
    </row>
    <row r="730" spans="1:5" x14ac:dyDescent="0.25">
      <c r="A730">
        <v>729</v>
      </c>
      <c r="B730">
        <f t="shared" ca="1" si="33"/>
        <v>1</v>
      </c>
      <c r="C730">
        <f t="shared" ca="1" si="34"/>
        <v>2</v>
      </c>
      <c r="D730">
        <v>0.01</v>
      </c>
      <c r="E730">
        <f t="shared" ca="1" si="35"/>
        <v>0.02</v>
      </c>
    </row>
    <row r="731" spans="1:5" x14ac:dyDescent="0.25">
      <c r="A731">
        <v>730</v>
      </c>
      <c r="B731">
        <f t="shared" ca="1" si="33"/>
        <v>1</v>
      </c>
      <c r="C731">
        <f t="shared" ca="1" si="34"/>
        <v>2</v>
      </c>
      <c r="D731">
        <v>0.01</v>
      </c>
      <c r="E731">
        <f t="shared" ca="1" si="35"/>
        <v>0.02</v>
      </c>
    </row>
    <row r="732" spans="1:5" x14ac:dyDescent="0.25">
      <c r="A732">
        <v>731</v>
      </c>
      <c r="B732">
        <f t="shared" ca="1" si="33"/>
        <v>-1</v>
      </c>
      <c r="C732">
        <f t="shared" ca="1" si="34"/>
        <v>-1</v>
      </c>
      <c r="D732">
        <v>0.01</v>
      </c>
      <c r="E732">
        <f t="shared" ca="1" si="35"/>
        <v>0.01</v>
      </c>
    </row>
    <row r="733" spans="1:5" x14ac:dyDescent="0.25">
      <c r="A733">
        <v>732</v>
      </c>
      <c r="B733">
        <f t="shared" ca="1" si="33"/>
        <v>1</v>
      </c>
      <c r="C733">
        <f t="shared" ca="1" si="34"/>
        <v>2</v>
      </c>
      <c r="D733">
        <v>0.01</v>
      </c>
      <c r="E733">
        <f t="shared" ca="1" si="35"/>
        <v>0.02</v>
      </c>
    </row>
    <row r="734" spans="1:5" x14ac:dyDescent="0.25">
      <c r="A734">
        <v>733</v>
      </c>
      <c r="B734">
        <f t="shared" ca="1" si="33"/>
        <v>-1</v>
      </c>
      <c r="C734">
        <f t="shared" ca="1" si="34"/>
        <v>-1</v>
      </c>
      <c r="D734">
        <v>0.01</v>
      </c>
      <c r="E734">
        <f t="shared" ca="1" si="35"/>
        <v>0.01</v>
      </c>
    </row>
    <row r="735" spans="1:5" x14ac:dyDescent="0.25">
      <c r="A735">
        <v>734</v>
      </c>
      <c r="B735">
        <f t="shared" ca="1" si="33"/>
        <v>1</v>
      </c>
      <c r="C735">
        <f t="shared" ca="1" si="34"/>
        <v>2</v>
      </c>
      <c r="D735">
        <v>0.01</v>
      </c>
      <c r="E735">
        <f t="shared" ca="1" si="35"/>
        <v>0.02</v>
      </c>
    </row>
    <row r="736" spans="1:5" x14ac:dyDescent="0.25">
      <c r="A736">
        <v>735</v>
      </c>
      <c r="B736">
        <f t="shared" ca="1" si="33"/>
        <v>-1</v>
      </c>
      <c r="C736">
        <f t="shared" ca="1" si="34"/>
        <v>-1</v>
      </c>
      <c r="D736">
        <v>0.01</v>
      </c>
      <c r="E736">
        <f t="shared" ca="1" si="35"/>
        <v>0.01</v>
      </c>
    </row>
    <row r="737" spans="1:5" x14ac:dyDescent="0.25">
      <c r="A737">
        <v>736</v>
      </c>
      <c r="B737">
        <f t="shared" ca="1" si="33"/>
        <v>1</v>
      </c>
      <c r="C737">
        <f t="shared" ca="1" si="34"/>
        <v>2</v>
      </c>
      <c r="D737">
        <v>0.01</v>
      </c>
      <c r="E737">
        <f t="shared" ca="1" si="35"/>
        <v>0.02</v>
      </c>
    </row>
    <row r="738" spans="1:5" x14ac:dyDescent="0.25">
      <c r="A738">
        <v>737</v>
      </c>
      <c r="B738">
        <f t="shared" ca="1" si="33"/>
        <v>1</v>
      </c>
      <c r="C738">
        <f t="shared" ca="1" si="34"/>
        <v>2</v>
      </c>
      <c r="D738">
        <v>0.01</v>
      </c>
      <c r="E738">
        <f t="shared" ca="1" si="35"/>
        <v>0.02</v>
      </c>
    </row>
    <row r="739" spans="1:5" x14ac:dyDescent="0.25">
      <c r="A739">
        <v>738</v>
      </c>
      <c r="B739">
        <f t="shared" ca="1" si="33"/>
        <v>-1</v>
      </c>
      <c r="C739">
        <f t="shared" ca="1" si="34"/>
        <v>-1</v>
      </c>
      <c r="D739">
        <v>0.01</v>
      </c>
      <c r="E739">
        <f t="shared" ca="1" si="35"/>
        <v>0.01</v>
      </c>
    </row>
    <row r="740" spans="1:5" x14ac:dyDescent="0.25">
      <c r="A740">
        <v>739</v>
      </c>
      <c r="B740">
        <f t="shared" ca="1" si="33"/>
        <v>1</v>
      </c>
      <c r="C740">
        <f t="shared" ca="1" si="34"/>
        <v>2</v>
      </c>
      <c r="D740">
        <v>0.01</v>
      </c>
      <c r="E740">
        <f t="shared" ca="1" si="35"/>
        <v>0.02</v>
      </c>
    </row>
    <row r="741" spans="1:5" x14ac:dyDescent="0.25">
      <c r="A741">
        <v>740</v>
      </c>
      <c r="B741">
        <f t="shared" ca="1" si="33"/>
        <v>1</v>
      </c>
      <c r="C741">
        <f t="shared" ca="1" si="34"/>
        <v>2</v>
      </c>
      <c r="D741">
        <v>0.01</v>
      </c>
      <c r="E741">
        <f t="shared" ca="1" si="35"/>
        <v>0.02</v>
      </c>
    </row>
    <row r="742" spans="1:5" x14ac:dyDescent="0.25">
      <c r="A742">
        <v>741</v>
      </c>
      <c r="B742">
        <f t="shared" ca="1" si="33"/>
        <v>-1</v>
      </c>
      <c r="C742">
        <f t="shared" ca="1" si="34"/>
        <v>-1</v>
      </c>
      <c r="D742">
        <v>0.01</v>
      </c>
      <c r="E742">
        <f t="shared" ca="1" si="35"/>
        <v>0.01</v>
      </c>
    </row>
    <row r="743" spans="1:5" x14ac:dyDescent="0.25">
      <c r="A743">
        <v>742</v>
      </c>
      <c r="B743">
        <f t="shared" ca="1" si="33"/>
        <v>1</v>
      </c>
      <c r="C743">
        <f t="shared" ca="1" si="34"/>
        <v>2</v>
      </c>
      <c r="D743">
        <v>0.01</v>
      </c>
      <c r="E743">
        <f t="shared" ca="1" si="35"/>
        <v>0.02</v>
      </c>
    </row>
    <row r="744" spans="1:5" x14ac:dyDescent="0.25">
      <c r="A744">
        <v>743</v>
      </c>
      <c r="B744">
        <f t="shared" ca="1" si="33"/>
        <v>1</v>
      </c>
      <c r="C744">
        <f t="shared" ca="1" si="34"/>
        <v>2</v>
      </c>
      <c r="D744">
        <v>0.01</v>
      </c>
      <c r="E744">
        <f t="shared" ca="1" si="35"/>
        <v>0.02</v>
      </c>
    </row>
    <row r="745" spans="1:5" x14ac:dyDescent="0.25">
      <c r="A745">
        <v>744</v>
      </c>
      <c r="B745">
        <f t="shared" ca="1" si="33"/>
        <v>1</v>
      </c>
      <c r="C745">
        <f t="shared" ca="1" si="34"/>
        <v>2</v>
      </c>
      <c r="D745">
        <v>0.01</v>
      </c>
      <c r="E745">
        <f t="shared" ca="1" si="35"/>
        <v>0.02</v>
      </c>
    </row>
    <row r="746" spans="1:5" x14ac:dyDescent="0.25">
      <c r="A746">
        <v>745</v>
      </c>
      <c r="B746">
        <f t="shared" ca="1" si="33"/>
        <v>1</v>
      </c>
      <c r="C746">
        <f t="shared" ca="1" si="34"/>
        <v>2</v>
      </c>
      <c r="D746">
        <v>0.01</v>
      </c>
      <c r="E746">
        <f t="shared" ca="1" si="35"/>
        <v>0.02</v>
      </c>
    </row>
    <row r="747" spans="1:5" x14ac:dyDescent="0.25">
      <c r="A747">
        <v>746</v>
      </c>
      <c r="B747">
        <f t="shared" ca="1" si="33"/>
        <v>1</v>
      </c>
      <c r="C747">
        <f t="shared" ca="1" si="34"/>
        <v>2</v>
      </c>
      <c r="D747">
        <v>0.01</v>
      </c>
      <c r="E747">
        <f t="shared" ca="1" si="35"/>
        <v>0.02</v>
      </c>
    </row>
    <row r="748" spans="1:5" x14ac:dyDescent="0.25">
      <c r="A748">
        <v>747</v>
      </c>
      <c r="B748">
        <f t="shared" ca="1" si="33"/>
        <v>1</v>
      </c>
      <c r="C748">
        <f t="shared" ca="1" si="34"/>
        <v>2</v>
      </c>
      <c r="D748">
        <v>0.01</v>
      </c>
      <c r="E748">
        <f t="shared" ca="1" si="35"/>
        <v>0.02</v>
      </c>
    </row>
    <row r="749" spans="1:5" x14ac:dyDescent="0.25">
      <c r="A749">
        <v>748</v>
      </c>
      <c r="B749">
        <f t="shared" ca="1" si="33"/>
        <v>1</v>
      </c>
      <c r="C749">
        <f t="shared" ca="1" si="34"/>
        <v>2</v>
      </c>
      <c r="D749">
        <v>0.01</v>
      </c>
      <c r="E749">
        <f t="shared" ca="1" si="35"/>
        <v>0.02</v>
      </c>
    </row>
    <row r="750" spans="1:5" x14ac:dyDescent="0.25">
      <c r="A750">
        <v>749</v>
      </c>
      <c r="B750">
        <f t="shared" ca="1" si="33"/>
        <v>-1</v>
      </c>
      <c r="C750">
        <f t="shared" ca="1" si="34"/>
        <v>-1</v>
      </c>
      <c r="D750">
        <v>0.01</v>
      </c>
      <c r="E750">
        <f t="shared" ca="1" si="35"/>
        <v>0.01</v>
      </c>
    </row>
    <row r="751" spans="1:5" x14ac:dyDescent="0.25">
      <c r="A751">
        <v>750</v>
      </c>
      <c r="B751">
        <f t="shared" ca="1" si="33"/>
        <v>-1</v>
      </c>
      <c r="C751">
        <f t="shared" ca="1" si="34"/>
        <v>-1</v>
      </c>
      <c r="D751">
        <v>0.01</v>
      </c>
      <c r="E751">
        <f t="shared" ca="1" si="35"/>
        <v>0.01</v>
      </c>
    </row>
    <row r="752" spans="1:5" x14ac:dyDescent="0.25">
      <c r="A752">
        <v>751</v>
      </c>
      <c r="B752">
        <f t="shared" ca="1" si="33"/>
        <v>1</v>
      </c>
      <c r="C752">
        <f t="shared" ca="1" si="34"/>
        <v>2</v>
      </c>
      <c r="D752">
        <v>0.01</v>
      </c>
      <c r="E752">
        <f t="shared" ca="1" si="35"/>
        <v>0.02</v>
      </c>
    </row>
    <row r="753" spans="1:5" x14ac:dyDescent="0.25">
      <c r="A753">
        <v>752</v>
      </c>
      <c r="B753">
        <f t="shared" ca="1" si="33"/>
        <v>-1</v>
      </c>
      <c r="C753">
        <f t="shared" ca="1" si="34"/>
        <v>-1</v>
      </c>
      <c r="D753">
        <v>0.01</v>
      </c>
      <c r="E753">
        <f t="shared" ca="1" si="35"/>
        <v>0.01</v>
      </c>
    </row>
    <row r="754" spans="1:5" x14ac:dyDescent="0.25">
      <c r="A754">
        <v>753</v>
      </c>
      <c r="B754">
        <f t="shared" ca="1" si="33"/>
        <v>-1</v>
      </c>
      <c r="C754">
        <f t="shared" ca="1" si="34"/>
        <v>-1</v>
      </c>
      <c r="D754">
        <v>0.01</v>
      </c>
      <c r="E754">
        <f t="shared" ca="1" si="35"/>
        <v>0.01</v>
      </c>
    </row>
    <row r="755" spans="1:5" x14ac:dyDescent="0.25">
      <c r="A755">
        <v>754</v>
      </c>
      <c r="B755">
        <f t="shared" ca="1" si="33"/>
        <v>-1</v>
      </c>
      <c r="C755">
        <f t="shared" ca="1" si="34"/>
        <v>-1</v>
      </c>
      <c r="D755">
        <v>0.01</v>
      </c>
      <c r="E755">
        <f t="shared" ca="1" si="35"/>
        <v>0.01</v>
      </c>
    </row>
    <row r="756" spans="1:5" x14ac:dyDescent="0.25">
      <c r="A756">
        <v>755</v>
      </c>
      <c r="B756">
        <f t="shared" ca="1" si="33"/>
        <v>-1</v>
      </c>
      <c r="C756">
        <f t="shared" ca="1" si="34"/>
        <v>-1</v>
      </c>
      <c r="D756">
        <v>0.01</v>
      </c>
      <c r="E756">
        <f t="shared" ca="1" si="35"/>
        <v>0.01</v>
      </c>
    </row>
    <row r="757" spans="1:5" x14ac:dyDescent="0.25">
      <c r="A757">
        <v>756</v>
      </c>
      <c r="B757">
        <f t="shared" ca="1" si="33"/>
        <v>-1</v>
      </c>
      <c r="C757">
        <f t="shared" ca="1" si="34"/>
        <v>-1</v>
      </c>
      <c r="D757">
        <v>0.01</v>
      </c>
      <c r="E757">
        <f t="shared" ca="1" si="35"/>
        <v>0.01</v>
      </c>
    </row>
    <row r="758" spans="1:5" x14ac:dyDescent="0.25">
      <c r="A758">
        <v>757</v>
      </c>
      <c r="B758">
        <f t="shared" ca="1" si="33"/>
        <v>1</v>
      </c>
      <c r="C758">
        <f t="shared" ca="1" si="34"/>
        <v>2</v>
      </c>
      <c r="D758">
        <v>0.01</v>
      </c>
      <c r="E758">
        <f t="shared" ca="1" si="35"/>
        <v>0.02</v>
      </c>
    </row>
    <row r="759" spans="1:5" x14ac:dyDescent="0.25">
      <c r="A759">
        <v>758</v>
      </c>
      <c r="B759">
        <f t="shared" ca="1" si="33"/>
        <v>-1</v>
      </c>
      <c r="C759">
        <f t="shared" ca="1" si="34"/>
        <v>-1</v>
      </c>
      <c r="D759">
        <v>0.01</v>
      </c>
      <c r="E759">
        <f t="shared" ca="1" si="35"/>
        <v>0.01</v>
      </c>
    </row>
    <row r="760" spans="1:5" x14ac:dyDescent="0.25">
      <c r="A760">
        <v>759</v>
      </c>
      <c r="B760">
        <f t="shared" ca="1" si="33"/>
        <v>-1</v>
      </c>
      <c r="C760">
        <f t="shared" ca="1" si="34"/>
        <v>-1</v>
      </c>
      <c r="D760">
        <v>0.01</v>
      </c>
      <c r="E760">
        <f t="shared" ca="1" si="35"/>
        <v>0.01</v>
      </c>
    </row>
    <row r="761" spans="1:5" x14ac:dyDescent="0.25">
      <c r="A761">
        <v>760</v>
      </c>
      <c r="B761">
        <f t="shared" ca="1" si="33"/>
        <v>-1</v>
      </c>
      <c r="C761">
        <f t="shared" ca="1" si="34"/>
        <v>-1</v>
      </c>
      <c r="D761">
        <v>0.01</v>
      </c>
      <c r="E761">
        <f t="shared" ca="1" si="35"/>
        <v>0.01</v>
      </c>
    </row>
    <row r="762" spans="1:5" x14ac:dyDescent="0.25">
      <c r="A762">
        <v>761</v>
      </c>
      <c r="B762">
        <f t="shared" ca="1" si="33"/>
        <v>1</v>
      </c>
      <c r="C762">
        <f t="shared" ca="1" si="34"/>
        <v>2</v>
      </c>
      <c r="D762">
        <v>0.01</v>
      </c>
      <c r="E762">
        <f t="shared" ca="1" si="35"/>
        <v>0.02</v>
      </c>
    </row>
    <row r="763" spans="1:5" x14ac:dyDescent="0.25">
      <c r="A763">
        <v>762</v>
      </c>
      <c r="B763">
        <f t="shared" ca="1" si="33"/>
        <v>1</v>
      </c>
      <c r="C763">
        <f t="shared" ca="1" si="34"/>
        <v>2</v>
      </c>
      <c r="D763">
        <v>0.01</v>
      </c>
      <c r="E763">
        <f t="shared" ca="1" si="35"/>
        <v>0.02</v>
      </c>
    </row>
    <row r="764" spans="1:5" x14ac:dyDescent="0.25">
      <c r="A764">
        <v>763</v>
      </c>
      <c r="B764">
        <f t="shared" ca="1" si="33"/>
        <v>-1</v>
      </c>
      <c r="C764">
        <f t="shared" ca="1" si="34"/>
        <v>-1</v>
      </c>
      <c r="D764">
        <v>0.01</v>
      </c>
      <c r="E764">
        <f t="shared" ca="1" si="35"/>
        <v>0.01</v>
      </c>
    </row>
    <row r="765" spans="1:5" x14ac:dyDescent="0.25">
      <c r="A765">
        <v>764</v>
      </c>
      <c r="B765">
        <f t="shared" ca="1" si="33"/>
        <v>1</v>
      </c>
      <c r="C765">
        <f t="shared" ca="1" si="34"/>
        <v>2</v>
      </c>
      <c r="D765">
        <v>0.01</v>
      </c>
      <c r="E765">
        <f t="shared" ca="1" si="35"/>
        <v>0.02</v>
      </c>
    </row>
    <row r="766" spans="1:5" x14ac:dyDescent="0.25">
      <c r="A766">
        <v>765</v>
      </c>
      <c r="B766">
        <f t="shared" ca="1" si="33"/>
        <v>1</v>
      </c>
      <c r="C766">
        <f t="shared" ca="1" si="34"/>
        <v>2</v>
      </c>
      <c r="D766">
        <v>0.01</v>
      </c>
      <c r="E766">
        <f t="shared" ca="1" si="35"/>
        <v>0.02</v>
      </c>
    </row>
    <row r="767" spans="1:5" x14ac:dyDescent="0.25">
      <c r="A767">
        <v>766</v>
      </c>
      <c r="B767">
        <f t="shared" ca="1" si="33"/>
        <v>1</v>
      </c>
      <c r="C767">
        <f t="shared" ca="1" si="34"/>
        <v>2</v>
      </c>
      <c r="D767">
        <v>0.01</v>
      </c>
      <c r="E767">
        <f t="shared" ca="1" si="35"/>
        <v>0.02</v>
      </c>
    </row>
    <row r="768" spans="1:5" x14ac:dyDescent="0.25">
      <c r="A768">
        <v>767</v>
      </c>
      <c r="B768">
        <f t="shared" ca="1" si="33"/>
        <v>1</v>
      </c>
      <c r="C768">
        <f t="shared" ca="1" si="34"/>
        <v>2</v>
      </c>
      <c r="D768">
        <v>0.01</v>
      </c>
      <c r="E768">
        <f t="shared" ca="1" si="35"/>
        <v>0.02</v>
      </c>
    </row>
    <row r="769" spans="1:5" x14ac:dyDescent="0.25">
      <c r="A769">
        <v>768</v>
      </c>
      <c r="B769">
        <f t="shared" ca="1" si="33"/>
        <v>-1</v>
      </c>
      <c r="C769">
        <f t="shared" ca="1" si="34"/>
        <v>-1</v>
      </c>
      <c r="D769">
        <v>0.01</v>
      </c>
      <c r="E769">
        <f t="shared" ca="1" si="35"/>
        <v>0.01</v>
      </c>
    </row>
    <row r="770" spans="1:5" x14ac:dyDescent="0.25">
      <c r="A770">
        <v>769</v>
      </c>
      <c r="B770">
        <f t="shared" ref="B770:B833" ca="1" si="36">IF(RAND()&lt;0.55,1,-1)</f>
        <v>1</v>
      </c>
      <c r="C770">
        <f t="shared" ref="C770:C833" ca="1" si="37">IF(B770=1,2,-1)</f>
        <v>2</v>
      </c>
      <c r="D770">
        <v>0.01</v>
      </c>
      <c r="E770">
        <f t="shared" ref="E770:E833" ca="1" si="38">B770*C770*D770</f>
        <v>0.02</v>
      </c>
    </row>
    <row r="771" spans="1:5" x14ac:dyDescent="0.25">
      <c r="A771">
        <v>770</v>
      </c>
      <c r="B771">
        <f t="shared" ca="1" si="36"/>
        <v>-1</v>
      </c>
      <c r="C771">
        <f t="shared" ca="1" si="37"/>
        <v>-1</v>
      </c>
      <c r="D771">
        <v>0.01</v>
      </c>
      <c r="E771">
        <f t="shared" ca="1" si="38"/>
        <v>0.01</v>
      </c>
    </row>
    <row r="772" spans="1:5" x14ac:dyDescent="0.25">
      <c r="A772">
        <v>771</v>
      </c>
      <c r="B772">
        <f t="shared" ca="1" si="36"/>
        <v>1</v>
      </c>
      <c r="C772">
        <f t="shared" ca="1" si="37"/>
        <v>2</v>
      </c>
      <c r="D772">
        <v>0.01</v>
      </c>
      <c r="E772">
        <f t="shared" ca="1" si="38"/>
        <v>0.02</v>
      </c>
    </row>
    <row r="773" spans="1:5" x14ac:dyDescent="0.25">
      <c r="A773">
        <v>772</v>
      </c>
      <c r="B773">
        <f t="shared" ca="1" si="36"/>
        <v>-1</v>
      </c>
      <c r="C773">
        <f t="shared" ca="1" si="37"/>
        <v>-1</v>
      </c>
      <c r="D773">
        <v>0.01</v>
      </c>
      <c r="E773">
        <f t="shared" ca="1" si="38"/>
        <v>0.01</v>
      </c>
    </row>
    <row r="774" spans="1:5" x14ac:dyDescent="0.25">
      <c r="A774">
        <v>773</v>
      </c>
      <c r="B774">
        <f t="shared" ca="1" si="36"/>
        <v>-1</v>
      </c>
      <c r="C774">
        <f t="shared" ca="1" si="37"/>
        <v>-1</v>
      </c>
      <c r="D774">
        <v>0.01</v>
      </c>
      <c r="E774">
        <f t="shared" ca="1" si="38"/>
        <v>0.01</v>
      </c>
    </row>
    <row r="775" spans="1:5" x14ac:dyDescent="0.25">
      <c r="A775">
        <v>774</v>
      </c>
      <c r="B775">
        <f t="shared" ca="1" si="36"/>
        <v>1</v>
      </c>
      <c r="C775">
        <f t="shared" ca="1" si="37"/>
        <v>2</v>
      </c>
      <c r="D775">
        <v>0.01</v>
      </c>
      <c r="E775">
        <f t="shared" ca="1" si="38"/>
        <v>0.02</v>
      </c>
    </row>
    <row r="776" spans="1:5" x14ac:dyDescent="0.25">
      <c r="A776">
        <v>775</v>
      </c>
      <c r="B776">
        <f t="shared" ca="1" si="36"/>
        <v>1</v>
      </c>
      <c r="C776">
        <f t="shared" ca="1" si="37"/>
        <v>2</v>
      </c>
      <c r="D776">
        <v>0.01</v>
      </c>
      <c r="E776">
        <f t="shared" ca="1" si="38"/>
        <v>0.02</v>
      </c>
    </row>
    <row r="777" spans="1:5" x14ac:dyDescent="0.25">
      <c r="A777">
        <v>776</v>
      </c>
      <c r="B777">
        <f t="shared" ca="1" si="36"/>
        <v>1</v>
      </c>
      <c r="C777">
        <f t="shared" ca="1" si="37"/>
        <v>2</v>
      </c>
      <c r="D777">
        <v>0.01</v>
      </c>
      <c r="E777">
        <f t="shared" ca="1" si="38"/>
        <v>0.02</v>
      </c>
    </row>
    <row r="778" spans="1:5" x14ac:dyDescent="0.25">
      <c r="A778">
        <v>777</v>
      </c>
      <c r="B778">
        <f t="shared" ca="1" si="36"/>
        <v>1</v>
      </c>
      <c r="C778">
        <f t="shared" ca="1" si="37"/>
        <v>2</v>
      </c>
      <c r="D778">
        <v>0.01</v>
      </c>
      <c r="E778">
        <f t="shared" ca="1" si="38"/>
        <v>0.02</v>
      </c>
    </row>
    <row r="779" spans="1:5" x14ac:dyDescent="0.25">
      <c r="A779">
        <v>778</v>
      </c>
      <c r="B779">
        <f t="shared" ca="1" si="36"/>
        <v>1</v>
      </c>
      <c r="C779">
        <f t="shared" ca="1" si="37"/>
        <v>2</v>
      </c>
      <c r="D779">
        <v>0.01</v>
      </c>
      <c r="E779">
        <f t="shared" ca="1" si="38"/>
        <v>0.02</v>
      </c>
    </row>
    <row r="780" spans="1:5" x14ac:dyDescent="0.25">
      <c r="A780">
        <v>779</v>
      </c>
      <c r="B780">
        <f t="shared" ca="1" si="36"/>
        <v>-1</v>
      </c>
      <c r="C780">
        <f t="shared" ca="1" si="37"/>
        <v>-1</v>
      </c>
      <c r="D780">
        <v>0.01</v>
      </c>
      <c r="E780">
        <f t="shared" ca="1" si="38"/>
        <v>0.01</v>
      </c>
    </row>
    <row r="781" spans="1:5" x14ac:dyDescent="0.25">
      <c r="A781">
        <v>780</v>
      </c>
      <c r="B781">
        <f t="shared" ca="1" si="36"/>
        <v>1</v>
      </c>
      <c r="C781">
        <f t="shared" ca="1" si="37"/>
        <v>2</v>
      </c>
      <c r="D781">
        <v>0.01</v>
      </c>
      <c r="E781">
        <f t="shared" ca="1" si="38"/>
        <v>0.02</v>
      </c>
    </row>
    <row r="782" spans="1:5" x14ac:dyDescent="0.25">
      <c r="A782">
        <v>781</v>
      </c>
      <c r="B782">
        <f t="shared" ca="1" si="36"/>
        <v>1</v>
      </c>
      <c r="C782">
        <f t="shared" ca="1" si="37"/>
        <v>2</v>
      </c>
      <c r="D782">
        <v>0.01</v>
      </c>
      <c r="E782">
        <f t="shared" ca="1" si="38"/>
        <v>0.02</v>
      </c>
    </row>
    <row r="783" spans="1:5" x14ac:dyDescent="0.25">
      <c r="A783">
        <v>782</v>
      </c>
      <c r="B783">
        <f t="shared" ca="1" si="36"/>
        <v>1</v>
      </c>
      <c r="C783">
        <f t="shared" ca="1" si="37"/>
        <v>2</v>
      </c>
      <c r="D783">
        <v>0.01</v>
      </c>
      <c r="E783">
        <f t="shared" ca="1" si="38"/>
        <v>0.02</v>
      </c>
    </row>
    <row r="784" spans="1:5" x14ac:dyDescent="0.25">
      <c r="A784">
        <v>783</v>
      </c>
      <c r="B784">
        <f t="shared" ca="1" si="36"/>
        <v>1</v>
      </c>
      <c r="C784">
        <f t="shared" ca="1" si="37"/>
        <v>2</v>
      </c>
      <c r="D784">
        <v>0.01</v>
      </c>
      <c r="E784">
        <f t="shared" ca="1" si="38"/>
        <v>0.02</v>
      </c>
    </row>
    <row r="785" spans="1:5" x14ac:dyDescent="0.25">
      <c r="A785">
        <v>784</v>
      </c>
      <c r="B785">
        <f t="shared" ca="1" si="36"/>
        <v>-1</v>
      </c>
      <c r="C785">
        <f t="shared" ca="1" si="37"/>
        <v>-1</v>
      </c>
      <c r="D785">
        <v>0.01</v>
      </c>
      <c r="E785">
        <f t="shared" ca="1" si="38"/>
        <v>0.01</v>
      </c>
    </row>
    <row r="786" spans="1:5" x14ac:dyDescent="0.25">
      <c r="A786">
        <v>785</v>
      </c>
      <c r="B786">
        <f t="shared" ca="1" si="36"/>
        <v>1</v>
      </c>
      <c r="C786">
        <f t="shared" ca="1" si="37"/>
        <v>2</v>
      </c>
      <c r="D786">
        <v>0.01</v>
      </c>
      <c r="E786">
        <f t="shared" ca="1" si="38"/>
        <v>0.02</v>
      </c>
    </row>
    <row r="787" spans="1:5" x14ac:dyDescent="0.25">
      <c r="A787">
        <v>786</v>
      </c>
      <c r="B787">
        <f t="shared" ca="1" si="36"/>
        <v>1</v>
      </c>
      <c r="C787">
        <f t="shared" ca="1" si="37"/>
        <v>2</v>
      </c>
      <c r="D787">
        <v>0.01</v>
      </c>
      <c r="E787">
        <f t="shared" ca="1" si="38"/>
        <v>0.02</v>
      </c>
    </row>
    <row r="788" spans="1:5" x14ac:dyDescent="0.25">
      <c r="A788">
        <v>787</v>
      </c>
      <c r="B788">
        <f t="shared" ca="1" si="36"/>
        <v>1</v>
      </c>
      <c r="C788">
        <f t="shared" ca="1" si="37"/>
        <v>2</v>
      </c>
      <c r="D788">
        <v>0.01</v>
      </c>
      <c r="E788">
        <f t="shared" ca="1" si="38"/>
        <v>0.02</v>
      </c>
    </row>
    <row r="789" spans="1:5" x14ac:dyDescent="0.25">
      <c r="A789">
        <v>788</v>
      </c>
      <c r="B789">
        <f t="shared" ca="1" si="36"/>
        <v>1</v>
      </c>
      <c r="C789">
        <f t="shared" ca="1" si="37"/>
        <v>2</v>
      </c>
      <c r="D789">
        <v>0.01</v>
      </c>
      <c r="E789">
        <f t="shared" ca="1" si="38"/>
        <v>0.02</v>
      </c>
    </row>
    <row r="790" spans="1:5" x14ac:dyDescent="0.25">
      <c r="A790">
        <v>789</v>
      </c>
      <c r="B790">
        <f t="shared" ca="1" si="36"/>
        <v>-1</v>
      </c>
      <c r="C790">
        <f t="shared" ca="1" si="37"/>
        <v>-1</v>
      </c>
      <c r="D790">
        <v>0.01</v>
      </c>
      <c r="E790">
        <f t="shared" ca="1" si="38"/>
        <v>0.01</v>
      </c>
    </row>
    <row r="791" spans="1:5" x14ac:dyDescent="0.25">
      <c r="A791">
        <v>790</v>
      </c>
      <c r="B791">
        <f t="shared" ca="1" si="36"/>
        <v>1</v>
      </c>
      <c r="C791">
        <f t="shared" ca="1" si="37"/>
        <v>2</v>
      </c>
      <c r="D791">
        <v>0.01</v>
      </c>
      <c r="E791">
        <f t="shared" ca="1" si="38"/>
        <v>0.02</v>
      </c>
    </row>
    <row r="792" spans="1:5" x14ac:dyDescent="0.25">
      <c r="A792">
        <v>791</v>
      </c>
      <c r="B792">
        <f t="shared" ca="1" si="36"/>
        <v>1</v>
      </c>
      <c r="C792">
        <f t="shared" ca="1" si="37"/>
        <v>2</v>
      </c>
      <c r="D792">
        <v>0.01</v>
      </c>
      <c r="E792">
        <f t="shared" ca="1" si="38"/>
        <v>0.02</v>
      </c>
    </row>
    <row r="793" spans="1:5" x14ac:dyDescent="0.25">
      <c r="A793">
        <v>792</v>
      </c>
      <c r="B793">
        <f t="shared" ca="1" si="36"/>
        <v>-1</v>
      </c>
      <c r="C793">
        <f t="shared" ca="1" si="37"/>
        <v>-1</v>
      </c>
      <c r="D793">
        <v>0.01</v>
      </c>
      <c r="E793">
        <f t="shared" ca="1" si="38"/>
        <v>0.01</v>
      </c>
    </row>
    <row r="794" spans="1:5" x14ac:dyDescent="0.25">
      <c r="A794">
        <v>793</v>
      </c>
      <c r="B794">
        <f t="shared" ca="1" si="36"/>
        <v>1</v>
      </c>
      <c r="C794">
        <f t="shared" ca="1" si="37"/>
        <v>2</v>
      </c>
      <c r="D794">
        <v>0.01</v>
      </c>
      <c r="E794">
        <f t="shared" ca="1" si="38"/>
        <v>0.02</v>
      </c>
    </row>
    <row r="795" spans="1:5" x14ac:dyDescent="0.25">
      <c r="A795">
        <v>794</v>
      </c>
      <c r="B795">
        <f t="shared" ca="1" si="36"/>
        <v>1</v>
      </c>
      <c r="C795">
        <f t="shared" ca="1" si="37"/>
        <v>2</v>
      </c>
      <c r="D795">
        <v>0.01</v>
      </c>
      <c r="E795">
        <f t="shared" ca="1" si="38"/>
        <v>0.02</v>
      </c>
    </row>
    <row r="796" spans="1:5" x14ac:dyDescent="0.25">
      <c r="A796">
        <v>795</v>
      </c>
      <c r="B796">
        <f t="shared" ca="1" si="36"/>
        <v>-1</v>
      </c>
      <c r="C796">
        <f t="shared" ca="1" si="37"/>
        <v>-1</v>
      </c>
      <c r="D796">
        <v>0.01</v>
      </c>
      <c r="E796">
        <f t="shared" ca="1" si="38"/>
        <v>0.01</v>
      </c>
    </row>
    <row r="797" spans="1:5" x14ac:dyDescent="0.25">
      <c r="A797">
        <v>796</v>
      </c>
      <c r="B797">
        <f t="shared" ca="1" si="36"/>
        <v>1</v>
      </c>
      <c r="C797">
        <f t="shared" ca="1" si="37"/>
        <v>2</v>
      </c>
      <c r="D797">
        <v>0.01</v>
      </c>
      <c r="E797">
        <f t="shared" ca="1" si="38"/>
        <v>0.02</v>
      </c>
    </row>
    <row r="798" spans="1:5" x14ac:dyDescent="0.25">
      <c r="A798">
        <v>797</v>
      </c>
      <c r="B798">
        <f t="shared" ca="1" si="36"/>
        <v>1</v>
      </c>
      <c r="C798">
        <f t="shared" ca="1" si="37"/>
        <v>2</v>
      </c>
      <c r="D798">
        <v>0.01</v>
      </c>
      <c r="E798">
        <f t="shared" ca="1" si="38"/>
        <v>0.02</v>
      </c>
    </row>
    <row r="799" spans="1:5" x14ac:dyDescent="0.25">
      <c r="A799">
        <v>798</v>
      </c>
      <c r="B799">
        <f t="shared" ca="1" si="36"/>
        <v>1</v>
      </c>
      <c r="C799">
        <f t="shared" ca="1" si="37"/>
        <v>2</v>
      </c>
      <c r="D799">
        <v>0.01</v>
      </c>
      <c r="E799">
        <f t="shared" ca="1" si="38"/>
        <v>0.02</v>
      </c>
    </row>
    <row r="800" spans="1:5" x14ac:dyDescent="0.25">
      <c r="A800">
        <v>799</v>
      </c>
      <c r="B800">
        <f t="shared" ca="1" si="36"/>
        <v>1</v>
      </c>
      <c r="C800">
        <f t="shared" ca="1" si="37"/>
        <v>2</v>
      </c>
      <c r="D800">
        <v>0.01</v>
      </c>
      <c r="E800">
        <f t="shared" ca="1" si="38"/>
        <v>0.02</v>
      </c>
    </row>
    <row r="801" spans="1:5" x14ac:dyDescent="0.25">
      <c r="A801">
        <v>800</v>
      </c>
      <c r="B801">
        <f t="shared" ca="1" si="36"/>
        <v>-1</v>
      </c>
      <c r="C801">
        <f t="shared" ca="1" si="37"/>
        <v>-1</v>
      </c>
      <c r="D801">
        <v>0.01</v>
      </c>
      <c r="E801">
        <f t="shared" ca="1" si="38"/>
        <v>0.01</v>
      </c>
    </row>
    <row r="802" spans="1:5" x14ac:dyDescent="0.25">
      <c r="A802">
        <v>801</v>
      </c>
      <c r="B802">
        <f t="shared" ca="1" si="36"/>
        <v>1</v>
      </c>
      <c r="C802">
        <f t="shared" ca="1" si="37"/>
        <v>2</v>
      </c>
      <c r="D802">
        <v>0.01</v>
      </c>
      <c r="E802">
        <f t="shared" ca="1" si="38"/>
        <v>0.02</v>
      </c>
    </row>
    <row r="803" spans="1:5" x14ac:dyDescent="0.25">
      <c r="A803">
        <v>802</v>
      </c>
      <c r="B803">
        <f t="shared" ca="1" si="36"/>
        <v>-1</v>
      </c>
      <c r="C803">
        <f t="shared" ca="1" si="37"/>
        <v>-1</v>
      </c>
      <c r="D803">
        <v>0.01</v>
      </c>
      <c r="E803">
        <f t="shared" ca="1" si="38"/>
        <v>0.01</v>
      </c>
    </row>
    <row r="804" spans="1:5" x14ac:dyDescent="0.25">
      <c r="A804">
        <v>803</v>
      </c>
      <c r="B804">
        <f t="shared" ca="1" si="36"/>
        <v>-1</v>
      </c>
      <c r="C804">
        <f t="shared" ca="1" si="37"/>
        <v>-1</v>
      </c>
      <c r="D804">
        <v>0.01</v>
      </c>
      <c r="E804">
        <f t="shared" ca="1" si="38"/>
        <v>0.01</v>
      </c>
    </row>
    <row r="805" spans="1:5" x14ac:dyDescent="0.25">
      <c r="A805">
        <v>804</v>
      </c>
      <c r="B805">
        <f t="shared" ca="1" si="36"/>
        <v>-1</v>
      </c>
      <c r="C805">
        <f t="shared" ca="1" si="37"/>
        <v>-1</v>
      </c>
      <c r="D805">
        <v>0.01</v>
      </c>
      <c r="E805">
        <f t="shared" ca="1" si="38"/>
        <v>0.01</v>
      </c>
    </row>
    <row r="806" spans="1:5" x14ac:dyDescent="0.25">
      <c r="A806">
        <v>805</v>
      </c>
      <c r="B806">
        <f t="shared" ca="1" si="36"/>
        <v>-1</v>
      </c>
      <c r="C806">
        <f t="shared" ca="1" si="37"/>
        <v>-1</v>
      </c>
      <c r="D806">
        <v>0.01</v>
      </c>
      <c r="E806">
        <f t="shared" ca="1" si="38"/>
        <v>0.01</v>
      </c>
    </row>
    <row r="807" spans="1:5" x14ac:dyDescent="0.25">
      <c r="A807">
        <v>806</v>
      </c>
      <c r="B807">
        <f t="shared" ca="1" si="36"/>
        <v>-1</v>
      </c>
      <c r="C807">
        <f t="shared" ca="1" si="37"/>
        <v>-1</v>
      </c>
      <c r="D807">
        <v>0.01</v>
      </c>
      <c r="E807">
        <f t="shared" ca="1" si="38"/>
        <v>0.01</v>
      </c>
    </row>
    <row r="808" spans="1:5" x14ac:dyDescent="0.25">
      <c r="A808">
        <v>807</v>
      </c>
      <c r="B808">
        <f t="shared" ca="1" si="36"/>
        <v>-1</v>
      </c>
      <c r="C808">
        <f t="shared" ca="1" si="37"/>
        <v>-1</v>
      </c>
      <c r="D808">
        <v>0.01</v>
      </c>
      <c r="E808">
        <f t="shared" ca="1" si="38"/>
        <v>0.01</v>
      </c>
    </row>
    <row r="809" spans="1:5" x14ac:dyDescent="0.25">
      <c r="A809">
        <v>808</v>
      </c>
      <c r="B809">
        <f t="shared" ca="1" si="36"/>
        <v>1</v>
      </c>
      <c r="C809">
        <f t="shared" ca="1" si="37"/>
        <v>2</v>
      </c>
      <c r="D809">
        <v>0.01</v>
      </c>
      <c r="E809">
        <f t="shared" ca="1" si="38"/>
        <v>0.02</v>
      </c>
    </row>
    <row r="810" spans="1:5" x14ac:dyDescent="0.25">
      <c r="A810">
        <v>809</v>
      </c>
      <c r="B810">
        <f t="shared" ca="1" si="36"/>
        <v>-1</v>
      </c>
      <c r="C810">
        <f t="shared" ca="1" si="37"/>
        <v>-1</v>
      </c>
      <c r="D810">
        <v>0.01</v>
      </c>
      <c r="E810">
        <f t="shared" ca="1" si="38"/>
        <v>0.01</v>
      </c>
    </row>
    <row r="811" spans="1:5" x14ac:dyDescent="0.25">
      <c r="A811">
        <v>810</v>
      </c>
      <c r="B811">
        <f t="shared" ca="1" si="36"/>
        <v>-1</v>
      </c>
      <c r="C811">
        <f t="shared" ca="1" si="37"/>
        <v>-1</v>
      </c>
      <c r="D811">
        <v>0.01</v>
      </c>
      <c r="E811">
        <f t="shared" ca="1" si="38"/>
        <v>0.01</v>
      </c>
    </row>
    <row r="812" spans="1:5" x14ac:dyDescent="0.25">
      <c r="A812">
        <v>811</v>
      </c>
      <c r="B812">
        <f t="shared" ca="1" si="36"/>
        <v>1</v>
      </c>
      <c r="C812">
        <f t="shared" ca="1" si="37"/>
        <v>2</v>
      </c>
      <c r="D812">
        <v>0.01</v>
      </c>
      <c r="E812">
        <f t="shared" ca="1" si="38"/>
        <v>0.02</v>
      </c>
    </row>
    <row r="813" spans="1:5" x14ac:dyDescent="0.25">
      <c r="A813">
        <v>812</v>
      </c>
      <c r="B813">
        <f t="shared" ca="1" si="36"/>
        <v>-1</v>
      </c>
      <c r="C813">
        <f t="shared" ca="1" si="37"/>
        <v>-1</v>
      </c>
      <c r="D813">
        <v>0.01</v>
      </c>
      <c r="E813">
        <f t="shared" ca="1" si="38"/>
        <v>0.01</v>
      </c>
    </row>
    <row r="814" spans="1:5" x14ac:dyDescent="0.25">
      <c r="A814">
        <v>813</v>
      </c>
      <c r="B814">
        <f t="shared" ca="1" si="36"/>
        <v>-1</v>
      </c>
      <c r="C814">
        <f t="shared" ca="1" si="37"/>
        <v>-1</v>
      </c>
      <c r="D814">
        <v>0.01</v>
      </c>
      <c r="E814">
        <f t="shared" ca="1" si="38"/>
        <v>0.01</v>
      </c>
    </row>
    <row r="815" spans="1:5" x14ac:dyDescent="0.25">
      <c r="A815">
        <v>814</v>
      </c>
      <c r="B815">
        <f t="shared" ca="1" si="36"/>
        <v>1</v>
      </c>
      <c r="C815">
        <f t="shared" ca="1" si="37"/>
        <v>2</v>
      </c>
      <c r="D815">
        <v>0.01</v>
      </c>
      <c r="E815">
        <f t="shared" ca="1" si="38"/>
        <v>0.02</v>
      </c>
    </row>
    <row r="816" spans="1:5" x14ac:dyDescent="0.25">
      <c r="A816">
        <v>815</v>
      </c>
      <c r="B816">
        <f t="shared" ca="1" si="36"/>
        <v>-1</v>
      </c>
      <c r="C816">
        <f t="shared" ca="1" si="37"/>
        <v>-1</v>
      </c>
      <c r="D816">
        <v>0.01</v>
      </c>
      <c r="E816">
        <f t="shared" ca="1" si="38"/>
        <v>0.01</v>
      </c>
    </row>
    <row r="817" spans="1:5" x14ac:dyDescent="0.25">
      <c r="A817">
        <v>816</v>
      </c>
      <c r="B817">
        <f t="shared" ca="1" si="36"/>
        <v>-1</v>
      </c>
      <c r="C817">
        <f t="shared" ca="1" si="37"/>
        <v>-1</v>
      </c>
      <c r="D817">
        <v>0.01</v>
      </c>
      <c r="E817">
        <f t="shared" ca="1" si="38"/>
        <v>0.01</v>
      </c>
    </row>
    <row r="818" spans="1:5" x14ac:dyDescent="0.25">
      <c r="A818">
        <v>817</v>
      </c>
      <c r="B818">
        <f t="shared" ca="1" si="36"/>
        <v>-1</v>
      </c>
      <c r="C818">
        <f t="shared" ca="1" si="37"/>
        <v>-1</v>
      </c>
      <c r="D818">
        <v>0.01</v>
      </c>
      <c r="E818">
        <f t="shared" ca="1" si="38"/>
        <v>0.01</v>
      </c>
    </row>
    <row r="819" spans="1:5" x14ac:dyDescent="0.25">
      <c r="A819">
        <v>818</v>
      </c>
      <c r="B819">
        <f t="shared" ca="1" si="36"/>
        <v>1</v>
      </c>
      <c r="C819">
        <f t="shared" ca="1" si="37"/>
        <v>2</v>
      </c>
      <c r="D819">
        <v>0.01</v>
      </c>
      <c r="E819">
        <f t="shared" ca="1" si="38"/>
        <v>0.02</v>
      </c>
    </row>
    <row r="820" spans="1:5" x14ac:dyDescent="0.25">
      <c r="A820">
        <v>819</v>
      </c>
      <c r="B820">
        <f t="shared" ca="1" si="36"/>
        <v>-1</v>
      </c>
      <c r="C820">
        <f t="shared" ca="1" si="37"/>
        <v>-1</v>
      </c>
      <c r="D820">
        <v>0.01</v>
      </c>
      <c r="E820">
        <f t="shared" ca="1" si="38"/>
        <v>0.01</v>
      </c>
    </row>
    <row r="821" spans="1:5" x14ac:dyDescent="0.25">
      <c r="A821">
        <v>820</v>
      </c>
      <c r="B821">
        <f t="shared" ca="1" si="36"/>
        <v>1</v>
      </c>
      <c r="C821">
        <f t="shared" ca="1" si="37"/>
        <v>2</v>
      </c>
      <c r="D821">
        <v>0.01</v>
      </c>
      <c r="E821">
        <f t="shared" ca="1" si="38"/>
        <v>0.02</v>
      </c>
    </row>
    <row r="822" spans="1:5" x14ac:dyDescent="0.25">
      <c r="A822">
        <v>821</v>
      </c>
      <c r="B822">
        <f t="shared" ca="1" si="36"/>
        <v>1</v>
      </c>
      <c r="C822">
        <f t="shared" ca="1" si="37"/>
        <v>2</v>
      </c>
      <c r="D822">
        <v>0.01</v>
      </c>
      <c r="E822">
        <f t="shared" ca="1" si="38"/>
        <v>0.02</v>
      </c>
    </row>
    <row r="823" spans="1:5" x14ac:dyDescent="0.25">
      <c r="A823">
        <v>822</v>
      </c>
      <c r="B823">
        <f t="shared" ca="1" si="36"/>
        <v>1</v>
      </c>
      <c r="C823">
        <f t="shared" ca="1" si="37"/>
        <v>2</v>
      </c>
      <c r="D823">
        <v>0.01</v>
      </c>
      <c r="E823">
        <f t="shared" ca="1" si="38"/>
        <v>0.02</v>
      </c>
    </row>
    <row r="824" spans="1:5" x14ac:dyDescent="0.25">
      <c r="A824">
        <v>823</v>
      </c>
      <c r="B824">
        <f t="shared" ca="1" si="36"/>
        <v>1</v>
      </c>
      <c r="C824">
        <f t="shared" ca="1" si="37"/>
        <v>2</v>
      </c>
      <c r="D824">
        <v>0.01</v>
      </c>
      <c r="E824">
        <f t="shared" ca="1" si="38"/>
        <v>0.02</v>
      </c>
    </row>
    <row r="825" spans="1:5" x14ac:dyDescent="0.25">
      <c r="A825">
        <v>824</v>
      </c>
      <c r="B825">
        <f t="shared" ca="1" si="36"/>
        <v>-1</v>
      </c>
      <c r="C825">
        <f t="shared" ca="1" si="37"/>
        <v>-1</v>
      </c>
      <c r="D825">
        <v>0.01</v>
      </c>
      <c r="E825">
        <f t="shared" ca="1" si="38"/>
        <v>0.01</v>
      </c>
    </row>
    <row r="826" spans="1:5" x14ac:dyDescent="0.25">
      <c r="A826">
        <v>825</v>
      </c>
      <c r="B826">
        <f t="shared" ca="1" si="36"/>
        <v>-1</v>
      </c>
      <c r="C826">
        <f t="shared" ca="1" si="37"/>
        <v>-1</v>
      </c>
      <c r="D826">
        <v>0.01</v>
      </c>
      <c r="E826">
        <f t="shared" ca="1" si="38"/>
        <v>0.01</v>
      </c>
    </row>
    <row r="827" spans="1:5" x14ac:dyDescent="0.25">
      <c r="A827">
        <v>826</v>
      </c>
      <c r="B827">
        <f t="shared" ca="1" si="36"/>
        <v>1</v>
      </c>
      <c r="C827">
        <f t="shared" ca="1" si="37"/>
        <v>2</v>
      </c>
      <c r="D827">
        <v>0.01</v>
      </c>
      <c r="E827">
        <f t="shared" ca="1" si="38"/>
        <v>0.02</v>
      </c>
    </row>
    <row r="828" spans="1:5" x14ac:dyDescent="0.25">
      <c r="A828">
        <v>827</v>
      </c>
      <c r="B828">
        <f t="shared" ca="1" si="36"/>
        <v>1</v>
      </c>
      <c r="C828">
        <f t="shared" ca="1" si="37"/>
        <v>2</v>
      </c>
      <c r="D828">
        <v>0.01</v>
      </c>
      <c r="E828">
        <f t="shared" ca="1" si="38"/>
        <v>0.02</v>
      </c>
    </row>
    <row r="829" spans="1:5" x14ac:dyDescent="0.25">
      <c r="A829">
        <v>828</v>
      </c>
      <c r="B829">
        <f t="shared" ca="1" si="36"/>
        <v>1</v>
      </c>
      <c r="C829">
        <f t="shared" ca="1" si="37"/>
        <v>2</v>
      </c>
      <c r="D829">
        <v>0.01</v>
      </c>
      <c r="E829">
        <f t="shared" ca="1" si="38"/>
        <v>0.02</v>
      </c>
    </row>
    <row r="830" spans="1:5" x14ac:dyDescent="0.25">
      <c r="A830">
        <v>829</v>
      </c>
      <c r="B830">
        <f t="shared" ca="1" si="36"/>
        <v>1</v>
      </c>
      <c r="C830">
        <f t="shared" ca="1" si="37"/>
        <v>2</v>
      </c>
      <c r="D830">
        <v>0.01</v>
      </c>
      <c r="E830">
        <f t="shared" ca="1" si="38"/>
        <v>0.02</v>
      </c>
    </row>
    <row r="831" spans="1:5" x14ac:dyDescent="0.25">
      <c r="A831">
        <v>830</v>
      </c>
      <c r="B831">
        <f t="shared" ca="1" si="36"/>
        <v>-1</v>
      </c>
      <c r="C831">
        <f t="shared" ca="1" si="37"/>
        <v>-1</v>
      </c>
      <c r="D831">
        <v>0.01</v>
      </c>
      <c r="E831">
        <f t="shared" ca="1" si="38"/>
        <v>0.01</v>
      </c>
    </row>
    <row r="832" spans="1:5" x14ac:dyDescent="0.25">
      <c r="A832">
        <v>831</v>
      </c>
      <c r="B832">
        <f t="shared" ca="1" si="36"/>
        <v>-1</v>
      </c>
      <c r="C832">
        <f t="shared" ca="1" si="37"/>
        <v>-1</v>
      </c>
      <c r="D832">
        <v>0.01</v>
      </c>
      <c r="E832">
        <f t="shared" ca="1" si="38"/>
        <v>0.01</v>
      </c>
    </row>
    <row r="833" spans="1:5" x14ac:dyDescent="0.25">
      <c r="A833">
        <v>832</v>
      </c>
      <c r="B833">
        <f t="shared" ca="1" si="36"/>
        <v>1</v>
      </c>
      <c r="C833">
        <f t="shared" ca="1" si="37"/>
        <v>2</v>
      </c>
      <c r="D833">
        <v>0.01</v>
      </c>
      <c r="E833">
        <f t="shared" ca="1" si="38"/>
        <v>0.02</v>
      </c>
    </row>
    <row r="834" spans="1:5" x14ac:dyDescent="0.25">
      <c r="A834">
        <v>833</v>
      </c>
      <c r="B834">
        <f t="shared" ref="B834:B897" ca="1" si="39">IF(RAND()&lt;0.55,1,-1)</f>
        <v>1</v>
      </c>
      <c r="C834">
        <f t="shared" ref="C834:C897" ca="1" si="40">IF(B834=1,2,-1)</f>
        <v>2</v>
      </c>
      <c r="D834">
        <v>0.01</v>
      </c>
      <c r="E834">
        <f t="shared" ref="E834:E897" ca="1" si="41">B834*C834*D834</f>
        <v>0.02</v>
      </c>
    </row>
    <row r="835" spans="1:5" x14ac:dyDescent="0.25">
      <c r="A835">
        <v>834</v>
      </c>
      <c r="B835">
        <f t="shared" ca="1" si="39"/>
        <v>1</v>
      </c>
      <c r="C835">
        <f t="shared" ca="1" si="40"/>
        <v>2</v>
      </c>
      <c r="D835">
        <v>0.01</v>
      </c>
      <c r="E835">
        <f t="shared" ca="1" si="41"/>
        <v>0.02</v>
      </c>
    </row>
    <row r="836" spans="1:5" x14ac:dyDescent="0.25">
      <c r="A836">
        <v>835</v>
      </c>
      <c r="B836">
        <f t="shared" ca="1" si="39"/>
        <v>1</v>
      </c>
      <c r="C836">
        <f t="shared" ca="1" si="40"/>
        <v>2</v>
      </c>
      <c r="D836">
        <v>0.01</v>
      </c>
      <c r="E836">
        <f t="shared" ca="1" si="41"/>
        <v>0.02</v>
      </c>
    </row>
    <row r="837" spans="1:5" x14ac:dyDescent="0.25">
      <c r="A837">
        <v>836</v>
      </c>
      <c r="B837">
        <f t="shared" ca="1" si="39"/>
        <v>-1</v>
      </c>
      <c r="C837">
        <f t="shared" ca="1" si="40"/>
        <v>-1</v>
      </c>
      <c r="D837">
        <v>0.01</v>
      </c>
      <c r="E837">
        <f t="shared" ca="1" si="41"/>
        <v>0.01</v>
      </c>
    </row>
    <row r="838" spans="1:5" x14ac:dyDescent="0.25">
      <c r="A838">
        <v>837</v>
      </c>
      <c r="B838">
        <f t="shared" ca="1" si="39"/>
        <v>1</v>
      </c>
      <c r="C838">
        <f t="shared" ca="1" si="40"/>
        <v>2</v>
      </c>
      <c r="D838">
        <v>0.01</v>
      </c>
      <c r="E838">
        <f t="shared" ca="1" si="41"/>
        <v>0.02</v>
      </c>
    </row>
    <row r="839" spans="1:5" x14ac:dyDescent="0.25">
      <c r="A839">
        <v>838</v>
      </c>
      <c r="B839">
        <f t="shared" ca="1" si="39"/>
        <v>-1</v>
      </c>
      <c r="C839">
        <f t="shared" ca="1" si="40"/>
        <v>-1</v>
      </c>
      <c r="D839">
        <v>0.01</v>
      </c>
      <c r="E839">
        <f t="shared" ca="1" si="41"/>
        <v>0.01</v>
      </c>
    </row>
    <row r="840" spans="1:5" x14ac:dyDescent="0.25">
      <c r="A840">
        <v>839</v>
      </c>
      <c r="B840">
        <f t="shared" ca="1" si="39"/>
        <v>1</v>
      </c>
      <c r="C840">
        <f t="shared" ca="1" si="40"/>
        <v>2</v>
      </c>
      <c r="D840">
        <v>0.01</v>
      </c>
      <c r="E840">
        <f t="shared" ca="1" si="41"/>
        <v>0.02</v>
      </c>
    </row>
    <row r="841" spans="1:5" x14ac:dyDescent="0.25">
      <c r="A841">
        <v>840</v>
      </c>
      <c r="B841">
        <f t="shared" ca="1" si="39"/>
        <v>1</v>
      </c>
      <c r="C841">
        <f t="shared" ca="1" si="40"/>
        <v>2</v>
      </c>
      <c r="D841">
        <v>0.01</v>
      </c>
      <c r="E841">
        <f t="shared" ca="1" si="41"/>
        <v>0.02</v>
      </c>
    </row>
    <row r="842" spans="1:5" x14ac:dyDescent="0.25">
      <c r="A842">
        <v>841</v>
      </c>
      <c r="B842">
        <f t="shared" ca="1" si="39"/>
        <v>1</v>
      </c>
      <c r="C842">
        <f t="shared" ca="1" si="40"/>
        <v>2</v>
      </c>
      <c r="D842">
        <v>0.01</v>
      </c>
      <c r="E842">
        <f t="shared" ca="1" si="41"/>
        <v>0.02</v>
      </c>
    </row>
    <row r="843" spans="1:5" x14ac:dyDescent="0.25">
      <c r="A843">
        <v>842</v>
      </c>
      <c r="B843">
        <f t="shared" ca="1" si="39"/>
        <v>-1</v>
      </c>
      <c r="C843">
        <f t="shared" ca="1" si="40"/>
        <v>-1</v>
      </c>
      <c r="D843">
        <v>0.01</v>
      </c>
      <c r="E843">
        <f t="shared" ca="1" si="41"/>
        <v>0.01</v>
      </c>
    </row>
    <row r="844" spans="1:5" x14ac:dyDescent="0.25">
      <c r="A844">
        <v>843</v>
      </c>
      <c r="B844">
        <f t="shared" ca="1" si="39"/>
        <v>1</v>
      </c>
      <c r="C844">
        <f t="shared" ca="1" si="40"/>
        <v>2</v>
      </c>
      <c r="D844">
        <v>0.01</v>
      </c>
      <c r="E844">
        <f t="shared" ca="1" si="41"/>
        <v>0.02</v>
      </c>
    </row>
    <row r="845" spans="1:5" x14ac:dyDescent="0.25">
      <c r="A845">
        <v>844</v>
      </c>
      <c r="B845">
        <f t="shared" ca="1" si="39"/>
        <v>-1</v>
      </c>
      <c r="C845">
        <f t="shared" ca="1" si="40"/>
        <v>-1</v>
      </c>
      <c r="D845">
        <v>0.01</v>
      </c>
      <c r="E845">
        <f t="shared" ca="1" si="41"/>
        <v>0.01</v>
      </c>
    </row>
    <row r="846" spans="1:5" x14ac:dyDescent="0.25">
      <c r="A846">
        <v>845</v>
      </c>
      <c r="B846">
        <f t="shared" ca="1" si="39"/>
        <v>-1</v>
      </c>
      <c r="C846">
        <f t="shared" ca="1" si="40"/>
        <v>-1</v>
      </c>
      <c r="D846">
        <v>0.01</v>
      </c>
      <c r="E846">
        <f t="shared" ca="1" si="41"/>
        <v>0.01</v>
      </c>
    </row>
    <row r="847" spans="1:5" x14ac:dyDescent="0.25">
      <c r="A847">
        <v>846</v>
      </c>
      <c r="B847">
        <f t="shared" ca="1" si="39"/>
        <v>-1</v>
      </c>
      <c r="C847">
        <f t="shared" ca="1" si="40"/>
        <v>-1</v>
      </c>
      <c r="D847">
        <v>0.01</v>
      </c>
      <c r="E847">
        <f t="shared" ca="1" si="41"/>
        <v>0.01</v>
      </c>
    </row>
    <row r="848" spans="1:5" x14ac:dyDescent="0.25">
      <c r="A848">
        <v>847</v>
      </c>
      <c r="B848">
        <f t="shared" ca="1" si="39"/>
        <v>1</v>
      </c>
      <c r="C848">
        <f t="shared" ca="1" si="40"/>
        <v>2</v>
      </c>
      <c r="D848">
        <v>0.01</v>
      </c>
      <c r="E848">
        <f t="shared" ca="1" si="41"/>
        <v>0.02</v>
      </c>
    </row>
    <row r="849" spans="1:5" x14ac:dyDescent="0.25">
      <c r="A849">
        <v>848</v>
      </c>
      <c r="B849">
        <f t="shared" ca="1" si="39"/>
        <v>-1</v>
      </c>
      <c r="C849">
        <f t="shared" ca="1" si="40"/>
        <v>-1</v>
      </c>
      <c r="D849">
        <v>0.01</v>
      </c>
      <c r="E849">
        <f t="shared" ca="1" si="41"/>
        <v>0.01</v>
      </c>
    </row>
    <row r="850" spans="1:5" x14ac:dyDescent="0.25">
      <c r="A850">
        <v>849</v>
      </c>
      <c r="B850">
        <f t="shared" ca="1" si="39"/>
        <v>-1</v>
      </c>
      <c r="C850">
        <f t="shared" ca="1" si="40"/>
        <v>-1</v>
      </c>
      <c r="D850">
        <v>0.01</v>
      </c>
      <c r="E850">
        <f t="shared" ca="1" si="41"/>
        <v>0.01</v>
      </c>
    </row>
    <row r="851" spans="1:5" x14ac:dyDescent="0.25">
      <c r="A851">
        <v>850</v>
      </c>
      <c r="B851">
        <f t="shared" ca="1" si="39"/>
        <v>-1</v>
      </c>
      <c r="C851">
        <f t="shared" ca="1" si="40"/>
        <v>-1</v>
      </c>
      <c r="D851">
        <v>0.01</v>
      </c>
      <c r="E851">
        <f t="shared" ca="1" si="41"/>
        <v>0.01</v>
      </c>
    </row>
    <row r="852" spans="1:5" x14ac:dyDescent="0.25">
      <c r="A852">
        <v>851</v>
      </c>
      <c r="B852">
        <f t="shared" ca="1" si="39"/>
        <v>-1</v>
      </c>
      <c r="C852">
        <f t="shared" ca="1" si="40"/>
        <v>-1</v>
      </c>
      <c r="D852">
        <v>0.01</v>
      </c>
      <c r="E852">
        <f t="shared" ca="1" si="41"/>
        <v>0.01</v>
      </c>
    </row>
    <row r="853" spans="1:5" x14ac:dyDescent="0.25">
      <c r="A853">
        <v>852</v>
      </c>
      <c r="B853">
        <f t="shared" ca="1" si="39"/>
        <v>-1</v>
      </c>
      <c r="C853">
        <f t="shared" ca="1" si="40"/>
        <v>-1</v>
      </c>
      <c r="D853">
        <v>0.01</v>
      </c>
      <c r="E853">
        <f t="shared" ca="1" si="41"/>
        <v>0.01</v>
      </c>
    </row>
    <row r="854" spans="1:5" x14ac:dyDescent="0.25">
      <c r="A854">
        <v>853</v>
      </c>
      <c r="B854">
        <f t="shared" ca="1" si="39"/>
        <v>-1</v>
      </c>
      <c r="C854">
        <f t="shared" ca="1" si="40"/>
        <v>-1</v>
      </c>
      <c r="D854">
        <v>0.01</v>
      </c>
      <c r="E854">
        <f t="shared" ca="1" si="41"/>
        <v>0.01</v>
      </c>
    </row>
    <row r="855" spans="1:5" x14ac:dyDescent="0.25">
      <c r="A855">
        <v>854</v>
      </c>
      <c r="B855">
        <f t="shared" ca="1" si="39"/>
        <v>-1</v>
      </c>
      <c r="C855">
        <f t="shared" ca="1" si="40"/>
        <v>-1</v>
      </c>
      <c r="D855">
        <v>0.01</v>
      </c>
      <c r="E855">
        <f t="shared" ca="1" si="41"/>
        <v>0.01</v>
      </c>
    </row>
    <row r="856" spans="1:5" x14ac:dyDescent="0.25">
      <c r="A856">
        <v>855</v>
      </c>
      <c r="B856">
        <f t="shared" ca="1" si="39"/>
        <v>1</v>
      </c>
      <c r="C856">
        <f t="shared" ca="1" si="40"/>
        <v>2</v>
      </c>
      <c r="D856">
        <v>0.01</v>
      </c>
      <c r="E856">
        <f t="shared" ca="1" si="41"/>
        <v>0.02</v>
      </c>
    </row>
    <row r="857" spans="1:5" x14ac:dyDescent="0.25">
      <c r="A857">
        <v>856</v>
      </c>
      <c r="B857">
        <f t="shared" ca="1" si="39"/>
        <v>1</v>
      </c>
      <c r="C857">
        <f t="shared" ca="1" si="40"/>
        <v>2</v>
      </c>
      <c r="D857">
        <v>0.01</v>
      </c>
      <c r="E857">
        <f t="shared" ca="1" si="41"/>
        <v>0.02</v>
      </c>
    </row>
    <row r="858" spans="1:5" x14ac:dyDescent="0.25">
      <c r="A858">
        <v>857</v>
      </c>
      <c r="B858">
        <f t="shared" ca="1" si="39"/>
        <v>-1</v>
      </c>
      <c r="C858">
        <f t="shared" ca="1" si="40"/>
        <v>-1</v>
      </c>
      <c r="D858">
        <v>0.01</v>
      </c>
      <c r="E858">
        <f t="shared" ca="1" si="41"/>
        <v>0.01</v>
      </c>
    </row>
    <row r="859" spans="1:5" x14ac:dyDescent="0.25">
      <c r="A859">
        <v>858</v>
      </c>
      <c r="B859">
        <f t="shared" ca="1" si="39"/>
        <v>1</v>
      </c>
      <c r="C859">
        <f t="shared" ca="1" si="40"/>
        <v>2</v>
      </c>
      <c r="D859">
        <v>0.01</v>
      </c>
      <c r="E859">
        <f t="shared" ca="1" si="41"/>
        <v>0.02</v>
      </c>
    </row>
    <row r="860" spans="1:5" x14ac:dyDescent="0.25">
      <c r="A860">
        <v>859</v>
      </c>
      <c r="B860">
        <f t="shared" ca="1" si="39"/>
        <v>-1</v>
      </c>
      <c r="C860">
        <f t="shared" ca="1" si="40"/>
        <v>-1</v>
      </c>
      <c r="D860">
        <v>0.01</v>
      </c>
      <c r="E860">
        <f t="shared" ca="1" si="41"/>
        <v>0.01</v>
      </c>
    </row>
    <row r="861" spans="1:5" x14ac:dyDescent="0.25">
      <c r="A861">
        <v>860</v>
      </c>
      <c r="B861">
        <f t="shared" ca="1" si="39"/>
        <v>-1</v>
      </c>
      <c r="C861">
        <f t="shared" ca="1" si="40"/>
        <v>-1</v>
      </c>
      <c r="D861">
        <v>0.01</v>
      </c>
      <c r="E861">
        <f t="shared" ca="1" si="41"/>
        <v>0.01</v>
      </c>
    </row>
    <row r="862" spans="1:5" x14ac:dyDescent="0.25">
      <c r="A862">
        <v>861</v>
      </c>
      <c r="B862">
        <f t="shared" ca="1" si="39"/>
        <v>1</v>
      </c>
      <c r="C862">
        <f t="shared" ca="1" si="40"/>
        <v>2</v>
      </c>
      <c r="D862">
        <v>0.01</v>
      </c>
      <c r="E862">
        <f t="shared" ca="1" si="41"/>
        <v>0.02</v>
      </c>
    </row>
    <row r="863" spans="1:5" x14ac:dyDescent="0.25">
      <c r="A863">
        <v>862</v>
      </c>
      <c r="B863">
        <f t="shared" ca="1" si="39"/>
        <v>1</v>
      </c>
      <c r="C863">
        <f t="shared" ca="1" si="40"/>
        <v>2</v>
      </c>
      <c r="D863">
        <v>0.01</v>
      </c>
      <c r="E863">
        <f t="shared" ca="1" si="41"/>
        <v>0.02</v>
      </c>
    </row>
    <row r="864" spans="1:5" x14ac:dyDescent="0.25">
      <c r="A864">
        <v>863</v>
      </c>
      <c r="B864">
        <f t="shared" ca="1" si="39"/>
        <v>1</v>
      </c>
      <c r="C864">
        <f t="shared" ca="1" si="40"/>
        <v>2</v>
      </c>
      <c r="D864">
        <v>0.01</v>
      </c>
      <c r="E864">
        <f t="shared" ca="1" si="41"/>
        <v>0.02</v>
      </c>
    </row>
    <row r="865" spans="1:5" x14ac:dyDescent="0.25">
      <c r="A865">
        <v>864</v>
      </c>
      <c r="B865">
        <f t="shared" ca="1" si="39"/>
        <v>1</v>
      </c>
      <c r="C865">
        <f t="shared" ca="1" si="40"/>
        <v>2</v>
      </c>
      <c r="D865">
        <v>0.01</v>
      </c>
      <c r="E865">
        <f t="shared" ca="1" si="41"/>
        <v>0.02</v>
      </c>
    </row>
    <row r="866" spans="1:5" x14ac:dyDescent="0.25">
      <c r="A866">
        <v>865</v>
      </c>
      <c r="B866">
        <f t="shared" ca="1" si="39"/>
        <v>-1</v>
      </c>
      <c r="C866">
        <f t="shared" ca="1" si="40"/>
        <v>-1</v>
      </c>
      <c r="D866">
        <v>0.01</v>
      </c>
      <c r="E866">
        <f t="shared" ca="1" si="41"/>
        <v>0.01</v>
      </c>
    </row>
    <row r="867" spans="1:5" x14ac:dyDescent="0.25">
      <c r="A867">
        <v>866</v>
      </c>
      <c r="B867">
        <f t="shared" ca="1" si="39"/>
        <v>-1</v>
      </c>
      <c r="C867">
        <f t="shared" ca="1" si="40"/>
        <v>-1</v>
      </c>
      <c r="D867">
        <v>0.01</v>
      </c>
      <c r="E867">
        <f t="shared" ca="1" si="41"/>
        <v>0.01</v>
      </c>
    </row>
    <row r="868" spans="1:5" x14ac:dyDescent="0.25">
      <c r="A868">
        <v>867</v>
      </c>
      <c r="B868">
        <f t="shared" ca="1" si="39"/>
        <v>-1</v>
      </c>
      <c r="C868">
        <f t="shared" ca="1" si="40"/>
        <v>-1</v>
      </c>
      <c r="D868">
        <v>0.01</v>
      </c>
      <c r="E868">
        <f t="shared" ca="1" si="41"/>
        <v>0.01</v>
      </c>
    </row>
    <row r="869" spans="1:5" x14ac:dyDescent="0.25">
      <c r="A869">
        <v>868</v>
      </c>
      <c r="B869">
        <f t="shared" ca="1" si="39"/>
        <v>1</v>
      </c>
      <c r="C869">
        <f t="shared" ca="1" si="40"/>
        <v>2</v>
      </c>
      <c r="D869">
        <v>0.01</v>
      </c>
      <c r="E869">
        <f t="shared" ca="1" si="41"/>
        <v>0.02</v>
      </c>
    </row>
    <row r="870" spans="1:5" x14ac:dyDescent="0.25">
      <c r="A870">
        <v>869</v>
      </c>
      <c r="B870">
        <f t="shared" ca="1" si="39"/>
        <v>-1</v>
      </c>
      <c r="C870">
        <f t="shared" ca="1" si="40"/>
        <v>-1</v>
      </c>
      <c r="D870">
        <v>0.01</v>
      </c>
      <c r="E870">
        <f t="shared" ca="1" si="41"/>
        <v>0.01</v>
      </c>
    </row>
    <row r="871" spans="1:5" x14ac:dyDescent="0.25">
      <c r="A871">
        <v>870</v>
      </c>
      <c r="B871">
        <f t="shared" ca="1" si="39"/>
        <v>-1</v>
      </c>
      <c r="C871">
        <f t="shared" ca="1" si="40"/>
        <v>-1</v>
      </c>
      <c r="D871">
        <v>0.01</v>
      </c>
      <c r="E871">
        <f t="shared" ca="1" si="41"/>
        <v>0.01</v>
      </c>
    </row>
    <row r="872" spans="1:5" x14ac:dyDescent="0.25">
      <c r="A872">
        <v>871</v>
      </c>
      <c r="B872">
        <f t="shared" ca="1" si="39"/>
        <v>1</v>
      </c>
      <c r="C872">
        <f t="shared" ca="1" si="40"/>
        <v>2</v>
      </c>
      <c r="D872">
        <v>0.01</v>
      </c>
      <c r="E872">
        <f t="shared" ca="1" si="41"/>
        <v>0.02</v>
      </c>
    </row>
    <row r="873" spans="1:5" x14ac:dyDescent="0.25">
      <c r="A873">
        <v>872</v>
      </c>
      <c r="B873">
        <f t="shared" ca="1" si="39"/>
        <v>1</v>
      </c>
      <c r="C873">
        <f t="shared" ca="1" si="40"/>
        <v>2</v>
      </c>
      <c r="D873">
        <v>0.01</v>
      </c>
      <c r="E873">
        <f t="shared" ca="1" si="41"/>
        <v>0.02</v>
      </c>
    </row>
    <row r="874" spans="1:5" x14ac:dyDescent="0.25">
      <c r="A874">
        <v>873</v>
      </c>
      <c r="B874">
        <f t="shared" ca="1" si="39"/>
        <v>-1</v>
      </c>
      <c r="C874">
        <f t="shared" ca="1" si="40"/>
        <v>-1</v>
      </c>
      <c r="D874">
        <v>0.01</v>
      </c>
      <c r="E874">
        <f t="shared" ca="1" si="41"/>
        <v>0.01</v>
      </c>
    </row>
    <row r="875" spans="1:5" x14ac:dyDescent="0.25">
      <c r="A875">
        <v>874</v>
      </c>
      <c r="B875">
        <f t="shared" ca="1" si="39"/>
        <v>-1</v>
      </c>
      <c r="C875">
        <f t="shared" ca="1" si="40"/>
        <v>-1</v>
      </c>
      <c r="D875">
        <v>0.01</v>
      </c>
      <c r="E875">
        <f t="shared" ca="1" si="41"/>
        <v>0.01</v>
      </c>
    </row>
    <row r="876" spans="1:5" x14ac:dyDescent="0.25">
      <c r="A876">
        <v>875</v>
      </c>
      <c r="B876">
        <f t="shared" ca="1" si="39"/>
        <v>1</v>
      </c>
      <c r="C876">
        <f t="shared" ca="1" si="40"/>
        <v>2</v>
      </c>
      <c r="D876">
        <v>0.01</v>
      </c>
      <c r="E876">
        <f t="shared" ca="1" si="41"/>
        <v>0.02</v>
      </c>
    </row>
    <row r="877" spans="1:5" x14ac:dyDescent="0.25">
      <c r="A877">
        <v>876</v>
      </c>
      <c r="B877">
        <f t="shared" ca="1" si="39"/>
        <v>1</v>
      </c>
      <c r="C877">
        <f t="shared" ca="1" si="40"/>
        <v>2</v>
      </c>
      <c r="D877">
        <v>0.01</v>
      </c>
      <c r="E877">
        <f t="shared" ca="1" si="41"/>
        <v>0.02</v>
      </c>
    </row>
    <row r="878" spans="1:5" x14ac:dyDescent="0.25">
      <c r="A878">
        <v>877</v>
      </c>
      <c r="B878">
        <f t="shared" ca="1" si="39"/>
        <v>-1</v>
      </c>
      <c r="C878">
        <f t="shared" ca="1" si="40"/>
        <v>-1</v>
      </c>
      <c r="D878">
        <v>0.01</v>
      </c>
      <c r="E878">
        <f t="shared" ca="1" si="41"/>
        <v>0.01</v>
      </c>
    </row>
    <row r="879" spans="1:5" x14ac:dyDescent="0.25">
      <c r="A879">
        <v>878</v>
      </c>
      <c r="B879">
        <f t="shared" ca="1" si="39"/>
        <v>1</v>
      </c>
      <c r="C879">
        <f t="shared" ca="1" si="40"/>
        <v>2</v>
      </c>
      <c r="D879">
        <v>0.01</v>
      </c>
      <c r="E879">
        <f t="shared" ca="1" si="41"/>
        <v>0.02</v>
      </c>
    </row>
    <row r="880" spans="1:5" x14ac:dyDescent="0.25">
      <c r="A880">
        <v>879</v>
      </c>
      <c r="B880">
        <f t="shared" ca="1" si="39"/>
        <v>-1</v>
      </c>
      <c r="C880">
        <f t="shared" ca="1" si="40"/>
        <v>-1</v>
      </c>
      <c r="D880">
        <v>0.01</v>
      </c>
      <c r="E880">
        <f t="shared" ca="1" si="41"/>
        <v>0.01</v>
      </c>
    </row>
    <row r="881" spans="1:5" x14ac:dyDescent="0.25">
      <c r="A881">
        <v>880</v>
      </c>
      <c r="B881">
        <f t="shared" ca="1" si="39"/>
        <v>-1</v>
      </c>
      <c r="C881">
        <f t="shared" ca="1" si="40"/>
        <v>-1</v>
      </c>
      <c r="D881">
        <v>0.01</v>
      </c>
      <c r="E881">
        <f t="shared" ca="1" si="41"/>
        <v>0.01</v>
      </c>
    </row>
    <row r="882" spans="1:5" x14ac:dyDescent="0.25">
      <c r="A882">
        <v>881</v>
      </c>
      <c r="B882">
        <f t="shared" ca="1" si="39"/>
        <v>-1</v>
      </c>
      <c r="C882">
        <f t="shared" ca="1" si="40"/>
        <v>-1</v>
      </c>
      <c r="D882">
        <v>0.01</v>
      </c>
      <c r="E882">
        <f t="shared" ca="1" si="41"/>
        <v>0.01</v>
      </c>
    </row>
    <row r="883" spans="1:5" x14ac:dyDescent="0.25">
      <c r="A883">
        <v>882</v>
      </c>
      <c r="B883">
        <f t="shared" ca="1" si="39"/>
        <v>-1</v>
      </c>
      <c r="C883">
        <f t="shared" ca="1" si="40"/>
        <v>-1</v>
      </c>
      <c r="D883">
        <v>0.01</v>
      </c>
      <c r="E883">
        <f t="shared" ca="1" si="41"/>
        <v>0.01</v>
      </c>
    </row>
    <row r="884" spans="1:5" x14ac:dyDescent="0.25">
      <c r="A884">
        <v>883</v>
      </c>
      <c r="B884">
        <f t="shared" ca="1" si="39"/>
        <v>1</v>
      </c>
      <c r="C884">
        <f t="shared" ca="1" si="40"/>
        <v>2</v>
      </c>
      <c r="D884">
        <v>0.01</v>
      </c>
      <c r="E884">
        <f t="shared" ca="1" si="41"/>
        <v>0.02</v>
      </c>
    </row>
    <row r="885" spans="1:5" x14ac:dyDescent="0.25">
      <c r="A885">
        <v>884</v>
      </c>
      <c r="B885">
        <f t="shared" ca="1" si="39"/>
        <v>1</v>
      </c>
      <c r="C885">
        <f t="shared" ca="1" si="40"/>
        <v>2</v>
      </c>
      <c r="D885">
        <v>0.01</v>
      </c>
      <c r="E885">
        <f t="shared" ca="1" si="41"/>
        <v>0.02</v>
      </c>
    </row>
    <row r="886" spans="1:5" x14ac:dyDescent="0.25">
      <c r="A886">
        <v>885</v>
      </c>
      <c r="B886">
        <f t="shared" ca="1" si="39"/>
        <v>1</v>
      </c>
      <c r="C886">
        <f t="shared" ca="1" si="40"/>
        <v>2</v>
      </c>
      <c r="D886">
        <v>0.01</v>
      </c>
      <c r="E886">
        <f t="shared" ca="1" si="41"/>
        <v>0.02</v>
      </c>
    </row>
    <row r="887" spans="1:5" x14ac:dyDescent="0.25">
      <c r="A887">
        <v>886</v>
      </c>
      <c r="B887">
        <f t="shared" ca="1" si="39"/>
        <v>-1</v>
      </c>
      <c r="C887">
        <f t="shared" ca="1" si="40"/>
        <v>-1</v>
      </c>
      <c r="D887">
        <v>0.01</v>
      </c>
      <c r="E887">
        <f t="shared" ca="1" si="41"/>
        <v>0.01</v>
      </c>
    </row>
    <row r="888" spans="1:5" x14ac:dyDescent="0.25">
      <c r="A888">
        <v>887</v>
      </c>
      <c r="B888">
        <f t="shared" ca="1" si="39"/>
        <v>-1</v>
      </c>
      <c r="C888">
        <f t="shared" ca="1" si="40"/>
        <v>-1</v>
      </c>
      <c r="D888">
        <v>0.01</v>
      </c>
      <c r="E888">
        <f t="shared" ca="1" si="41"/>
        <v>0.01</v>
      </c>
    </row>
    <row r="889" spans="1:5" x14ac:dyDescent="0.25">
      <c r="A889">
        <v>888</v>
      </c>
      <c r="B889">
        <f t="shared" ca="1" si="39"/>
        <v>1</v>
      </c>
      <c r="C889">
        <f t="shared" ca="1" si="40"/>
        <v>2</v>
      </c>
      <c r="D889">
        <v>0.01</v>
      </c>
      <c r="E889">
        <f t="shared" ca="1" si="41"/>
        <v>0.02</v>
      </c>
    </row>
    <row r="890" spans="1:5" x14ac:dyDescent="0.25">
      <c r="A890">
        <v>889</v>
      </c>
      <c r="B890">
        <f t="shared" ca="1" si="39"/>
        <v>-1</v>
      </c>
      <c r="C890">
        <f t="shared" ca="1" si="40"/>
        <v>-1</v>
      </c>
      <c r="D890">
        <v>0.01</v>
      </c>
      <c r="E890">
        <f t="shared" ca="1" si="41"/>
        <v>0.01</v>
      </c>
    </row>
    <row r="891" spans="1:5" x14ac:dyDescent="0.25">
      <c r="A891">
        <v>890</v>
      </c>
      <c r="B891">
        <f t="shared" ca="1" si="39"/>
        <v>1</v>
      </c>
      <c r="C891">
        <f t="shared" ca="1" si="40"/>
        <v>2</v>
      </c>
      <c r="D891">
        <v>0.01</v>
      </c>
      <c r="E891">
        <f t="shared" ca="1" si="41"/>
        <v>0.02</v>
      </c>
    </row>
    <row r="892" spans="1:5" x14ac:dyDescent="0.25">
      <c r="A892">
        <v>891</v>
      </c>
      <c r="B892">
        <f t="shared" ca="1" si="39"/>
        <v>1</v>
      </c>
      <c r="C892">
        <f t="shared" ca="1" si="40"/>
        <v>2</v>
      </c>
      <c r="D892">
        <v>0.01</v>
      </c>
      <c r="E892">
        <f t="shared" ca="1" si="41"/>
        <v>0.02</v>
      </c>
    </row>
    <row r="893" spans="1:5" x14ac:dyDescent="0.25">
      <c r="A893">
        <v>892</v>
      </c>
      <c r="B893">
        <f t="shared" ca="1" si="39"/>
        <v>1</v>
      </c>
      <c r="C893">
        <f t="shared" ca="1" si="40"/>
        <v>2</v>
      </c>
      <c r="D893">
        <v>0.01</v>
      </c>
      <c r="E893">
        <f t="shared" ca="1" si="41"/>
        <v>0.02</v>
      </c>
    </row>
    <row r="894" spans="1:5" x14ac:dyDescent="0.25">
      <c r="A894">
        <v>893</v>
      </c>
      <c r="B894">
        <f t="shared" ca="1" si="39"/>
        <v>1</v>
      </c>
      <c r="C894">
        <f t="shared" ca="1" si="40"/>
        <v>2</v>
      </c>
      <c r="D894">
        <v>0.01</v>
      </c>
      <c r="E894">
        <f t="shared" ca="1" si="41"/>
        <v>0.02</v>
      </c>
    </row>
    <row r="895" spans="1:5" x14ac:dyDescent="0.25">
      <c r="A895">
        <v>894</v>
      </c>
      <c r="B895">
        <f t="shared" ca="1" si="39"/>
        <v>1</v>
      </c>
      <c r="C895">
        <f t="shared" ca="1" si="40"/>
        <v>2</v>
      </c>
      <c r="D895">
        <v>0.01</v>
      </c>
      <c r="E895">
        <f t="shared" ca="1" si="41"/>
        <v>0.02</v>
      </c>
    </row>
    <row r="896" spans="1:5" x14ac:dyDescent="0.25">
      <c r="A896">
        <v>895</v>
      </c>
      <c r="B896">
        <f t="shared" ca="1" si="39"/>
        <v>1</v>
      </c>
      <c r="C896">
        <f t="shared" ca="1" si="40"/>
        <v>2</v>
      </c>
      <c r="D896">
        <v>0.01</v>
      </c>
      <c r="E896">
        <f t="shared" ca="1" si="41"/>
        <v>0.02</v>
      </c>
    </row>
    <row r="897" spans="1:5" x14ac:dyDescent="0.25">
      <c r="A897">
        <v>896</v>
      </c>
      <c r="B897">
        <f t="shared" ca="1" si="39"/>
        <v>-1</v>
      </c>
      <c r="C897">
        <f t="shared" ca="1" si="40"/>
        <v>-1</v>
      </c>
      <c r="D897">
        <v>0.01</v>
      </c>
      <c r="E897">
        <f t="shared" ca="1" si="41"/>
        <v>0.01</v>
      </c>
    </row>
    <row r="898" spans="1:5" x14ac:dyDescent="0.25">
      <c r="A898">
        <v>897</v>
      </c>
      <c r="B898">
        <f t="shared" ref="B898:B961" ca="1" si="42">IF(RAND()&lt;0.55,1,-1)</f>
        <v>-1</v>
      </c>
      <c r="C898">
        <f t="shared" ref="C898:C961" ca="1" si="43">IF(B898=1,2,-1)</f>
        <v>-1</v>
      </c>
      <c r="D898">
        <v>0.01</v>
      </c>
      <c r="E898">
        <f t="shared" ref="E898:E961" ca="1" si="44">B898*C898*D898</f>
        <v>0.01</v>
      </c>
    </row>
    <row r="899" spans="1:5" x14ac:dyDescent="0.25">
      <c r="A899">
        <v>898</v>
      </c>
      <c r="B899">
        <f t="shared" ca="1" si="42"/>
        <v>-1</v>
      </c>
      <c r="C899">
        <f t="shared" ca="1" si="43"/>
        <v>-1</v>
      </c>
      <c r="D899">
        <v>0.01</v>
      </c>
      <c r="E899">
        <f t="shared" ca="1" si="44"/>
        <v>0.01</v>
      </c>
    </row>
    <row r="900" spans="1:5" x14ac:dyDescent="0.25">
      <c r="A900">
        <v>899</v>
      </c>
      <c r="B900">
        <f t="shared" ca="1" si="42"/>
        <v>-1</v>
      </c>
      <c r="C900">
        <f t="shared" ca="1" si="43"/>
        <v>-1</v>
      </c>
      <c r="D900">
        <v>0.01</v>
      </c>
      <c r="E900">
        <f t="shared" ca="1" si="44"/>
        <v>0.01</v>
      </c>
    </row>
    <row r="901" spans="1:5" x14ac:dyDescent="0.25">
      <c r="A901">
        <v>900</v>
      </c>
      <c r="B901">
        <f t="shared" ca="1" si="42"/>
        <v>1</v>
      </c>
      <c r="C901">
        <f t="shared" ca="1" si="43"/>
        <v>2</v>
      </c>
      <c r="D901">
        <v>0.01</v>
      </c>
      <c r="E901">
        <f t="shared" ca="1" si="44"/>
        <v>0.02</v>
      </c>
    </row>
    <row r="902" spans="1:5" x14ac:dyDescent="0.25">
      <c r="A902">
        <v>901</v>
      </c>
      <c r="B902">
        <f t="shared" ca="1" si="42"/>
        <v>1</v>
      </c>
      <c r="C902">
        <f t="shared" ca="1" si="43"/>
        <v>2</v>
      </c>
      <c r="D902">
        <v>0.01</v>
      </c>
      <c r="E902">
        <f t="shared" ca="1" si="44"/>
        <v>0.02</v>
      </c>
    </row>
    <row r="903" spans="1:5" x14ac:dyDescent="0.25">
      <c r="A903">
        <v>902</v>
      </c>
      <c r="B903">
        <f t="shared" ca="1" si="42"/>
        <v>1</v>
      </c>
      <c r="C903">
        <f t="shared" ca="1" si="43"/>
        <v>2</v>
      </c>
      <c r="D903">
        <v>0.01</v>
      </c>
      <c r="E903">
        <f t="shared" ca="1" si="44"/>
        <v>0.02</v>
      </c>
    </row>
    <row r="904" spans="1:5" x14ac:dyDescent="0.25">
      <c r="A904">
        <v>903</v>
      </c>
      <c r="B904">
        <f t="shared" ca="1" si="42"/>
        <v>-1</v>
      </c>
      <c r="C904">
        <f t="shared" ca="1" si="43"/>
        <v>-1</v>
      </c>
      <c r="D904">
        <v>0.01</v>
      </c>
      <c r="E904">
        <f t="shared" ca="1" si="44"/>
        <v>0.01</v>
      </c>
    </row>
    <row r="905" spans="1:5" x14ac:dyDescent="0.25">
      <c r="A905">
        <v>904</v>
      </c>
      <c r="B905">
        <f t="shared" ca="1" si="42"/>
        <v>-1</v>
      </c>
      <c r="C905">
        <f t="shared" ca="1" si="43"/>
        <v>-1</v>
      </c>
      <c r="D905">
        <v>0.01</v>
      </c>
      <c r="E905">
        <f t="shared" ca="1" si="44"/>
        <v>0.01</v>
      </c>
    </row>
    <row r="906" spans="1:5" x14ac:dyDescent="0.25">
      <c r="A906">
        <v>905</v>
      </c>
      <c r="B906">
        <f t="shared" ca="1" si="42"/>
        <v>-1</v>
      </c>
      <c r="C906">
        <f t="shared" ca="1" si="43"/>
        <v>-1</v>
      </c>
      <c r="D906">
        <v>0.01</v>
      </c>
      <c r="E906">
        <f t="shared" ca="1" si="44"/>
        <v>0.01</v>
      </c>
    </row>
    <row r="907" spans="1:5" x14ac:dyDescent="0.25">
      <c r="A907">
        <v>906</v>
      </c>
      <c r="B907">
        <f t="shared" ca="1" si="42"/>
        <v>1</v>
      </c>
      <c r="C907">
        <f t="shared" ca="1" si="43"/>
        <v>2</v>
      </c>
      <c r="D907">
        <v>0.01</v>
      </c>
      <c r="E907">
        <f t="shared" ca="1" si="44"/>
        <v>0.02</v>
      </c>
    </row>
    <row r="908" spans="1:5" x14ac:dyDescent="0.25">
      <c r="A908">
        <v>907</v>
      </c>
      <c r="B908">
        <f t="shared" ca="1" si="42"/>
        <v>1</v>
      </c>
      <c r="C908">
        <f t="shared" ca="1" si="43"/>
        <v>2</v>
      </c>
      <c r="D908">
        <v>0.01</v>
      </c>
      <c r="E908">
        <f t="shared" ca="1" si="44"/>
        <v>0.02</v>
      </c>
    </row>
    <row r="909" spans="1:5" x14ac:dyDescent="0.25">
      <c r="A909">
        <v>908</v>
      </c>
      <c r="B909">
        <f t="shared" ca="1" si="42"/>
        <v>-1</v>
      </c>
      <c r="C909">
        <f t="shared" ca="1" si="43"/>
        <v>-1</v>
      </c>
      <c r="D909">
        <v>0.01</v>
      </c>
      <c r="E909">
        <f t="shared" ca="1" si="44"/>
        <v>0.01</v>
      </c>
    </row>
    <row r="910" spans="1:5" x14ac:dyDescent="0.25">
      <c r="A910">
        <v>909</v>
      </c>
      <c r="B910">
        <f t="shared" ca="1" si="42"/>
        <v>1</v>
      </c>
      <c r="C910">
        <f t="shared" ca="1" si="43"/>
        <v>2</v>
      </c>
      <c r="D910">
        <v>0.01</v>
      </c>
      <c r="E910">
        <f t="shared" ca="1" si="44"/>
        <v>0.02</v>
      </c>
    </row>
    <row r="911" spans="1:5" x14ac:dyDescent="0.25">
      <c r="A911">
        <v>910</v>
      </c>
      <c r="B911">
        <f t="shared" ca="1" si="42"/>
        <v>-1</v>
      </c>
      <c r="C911">
        <f t="shared" ca="1" si="43"/>
        <v>-1</v>
      </c>
      <c r="D911">
        <v>0.01</v>
      </c>
      <c r="E911">
        <f t="shared" ca="1" si="44"/>
        <v>0.01</v>
      </c>
    </row>
    <row r="912" spans="1:5" x14ac:dyDescent="0.25">
      <c r="A912">
        <v>911</v>
      </c>
      <c r="B912">
        <f t="shared" ca="1" si="42"/>
        <v>-1</v>
      </c>
      <c r="C912">
        <f t="shared" ca="1" si="43"/>
        <v>-1</v>
      </c>
      <c r="D912">
        <v>0.01</v>
      </c>
      <c r="E912">
        <f t="shared" ca="1" si="44"/>
        <v>0.01</v>
      </c>
    </row>
    <row r="913" spans="1:5" x14ac:dyDescent="0.25">
      <c r="A913">
        <v>912</v>
      </c>
      <c r="B913">
        <f t="shared" ca="1" si="42"/>
        <v>-1</v>
      </c>
      <c r="C913">
        <f t="shared" ca="1" si="43"/>
        <v>-1</v>
      </c>
      <c r="D913">
        <v>0.01</v>
      </c>
      <c r="E913">
        <f t="shared" ca="1" si="44"/>
        <v>0.01</v>
      </c>
    </row>
    <row r="914" spans="1:5" x14ac:dyDescent="0.25">
      <c r="A914">
        <v>913</v>
      </c>
      <c r="B914">
        <f t="shared" ca="1" si="42"/>
        <v>1</v>
      </c>
      <c r="C914">
        <f t="shared" ca="1" si="43"/>
        <v>2</v>
      </c>
      <c r="D914">
        <v>0.01</v>
      </c>
      <c r="E914">
        <f t="shared" ca="1" si="44"/>
        <v>0.02</v>
      </c>
    </row>
    <row r="915" spans="1:5" x14ac:dyDescent="0.25">
      <c r="A915">
        <v>914</v>
      </c>
      <c r="B915">
        <f t="shared" ca="1" si="42"/>
        <v>-1</v>
      </c>
      <c r="C915">
        <f t="shared" ca="1" si="43"/>
        <v>-1</v>
      </c>
      <c r="D915">
        <v>0.01</v>
      </c>
      <c r="E915">
        <f t="shared" ca="1" si="44"/>
        <v>0.01</v>
      </c>
    </row>
    <row r="916" spans="1:5" x14ac:dyDescent="0.25">
      <c r="A916">
        <v>915</v>
      </c>
      <c r="B916">
        <f t="shared" ca="1" si="42"/>
        <v>-1</v>
      </c>
      <c r="C916">
        <f t="shared" ca="1" si="43"/>
        <v>-1</v>
      </c>
      <c r="D916">
        <v>0.01</v>
      </c>
      <c r="E916">
        <f t="shared" ca="1" si="44"/>
        <v>0.01</v>
      </c>
    </row>
    <row r="917" spans="1:5" x14ac:dyDescent="0.25">
      <c r="A917">
        <v>916</v>
      </c>
      <c r="B917">
        <f t="shared" ca="1" si="42"/>
        <v>1</v>
      </c>
      <c r="C917">
        <f t="shared" ca="1" si="43"/>
        <v>2</v>
      </c>
      <c r="D917">
        <v>0.01</v>
      </c>
      <c r="E917">
        <f t="shared" ca="1" si="44"/>
        <v>0.02</v>
      </c>
    </row>
    <row r="918" spans="1:5" x14ac:dyDescent="0.25">
      <c r="A918">
        <v>917</v>
      </c>
      <c r="B918">
        <f t="shared" ca="1" si="42"/>
        <v>1</v>
      </c>
      <c r="C918">
        <f t="shared" ca="1" si="43"/>
        <v>2</v>
      </c>
      <c r="D918">
        <v>0.01</v>
      </c>
      <c r="E918">
        <f t="shared" ca="1" si="44"/>
        <v>0.02</v>
      </c>
    </row>
    <row r="919" spans="1:5" x14ac:dyDescent="0.25">
      <c r="A919">
        <v>918</v>
      </c>
      <c r="B919">
        <f t="shared" ca="1" si="42"/>
        <v>1</v>
      </c>
      <c r="C919">
        <f t="shared" ca="1" si="43"/>
        <v>2</v>
      </c>
      <c r="D919">
        <v>0.01</v>
      </c>
      <c r="E919">
        <f t="shared" ca="1" si="44"/>
        <v>0.02</v>
      </c>
    </row>
    <row r="920" spans="1:5" x14ac:dyDescent="0.25">
      <c r="A920">
        <v>919</v>
      </c>
      <c r="B920">
        <f t="shared" ca="1" si="42"/>
        <v>1</v>
      </c>
      <c r="C920">
        <f t="shared" ca="1" si="43"/>
        <v>2</v>
      </c>
      <c r="D920">
        <v>0.01</v>
      </c>
      <c r="E920">
        <f t="shared" ca="1" si="44"/>
        <v>0.02</v>
      </c>
    </row>
    <row r="921" spans="1:5" x14ac:dyDescent="0.25">
      <c r="A921">
        <v>920</v>
      </c>
      <c r="B921">
        <f t="shared" ca="1" si="42"/>
        <v>1</v>
      </c>
      <c r="C921">
        <f t="shared" ca="1" si="43"/>
        <v>2</v>
      </c>
      <c r="D921">
        <v>0.01</v>
      </c>
      <c r="E921">
        <f t="shared" ca="1" si="44"/>
        <v>0.02</v>
      </c>
    </row>
    <row r="922" spans="1:5" x14ac:dyDescent="0.25">
      <c r="A922">
        <v>921</v>
      </c>
      <c r="B922">
        <f t="shared" ca="1" si="42"/>
        <v>-1</v>
      </c>
      <c r="C922">
        <f t="shared" ca="1" si="43"/>
        <v>-1</v>
      </c>
      <c r="D922">
        <v>0.01</v>
      </c>
      <c r="E922">
        <f t="shared" ca="1" si="44"/>
        <v>0.01</v>
      </c>
    </row>
    <row r="923" spans="1:5" x14ac:dyDescent="0.25">
      <c r="A923">
        <v>922</v>
      </c>
      <c r="B923">
        <f t="shared" ca="1" si="42"/>
        <v>1</v>
      </c>
      <c r="C923">
        <f t="shared" ca="1" si="43"/>
        <v>2</v>
      </c>
      <c r="D923">
        <v>0.01</v>
      </c>
      <c r="E923">
        <f t="shared" ca="1" si="44"/>
        <v>0.02</v>
      </c>
    </row>
    <row r="924" spans="1:5" x14ac:dyDescent="0.25">
      <c r="A924">
        <v>923</v>
      </c>
      <c r="B924">
        <f t="shared" ca="1" si="42"/>
        <v>-1</v>
      </c>
      <c r="C924">
        <f t="shared" ca="1" si="43"/>
        <v>-1</v>
      </c>
      <c r="D924">
        <v>0.01</v>
      </c>
      <c r="E924">
        <f t="shared" ca="1" si="44"/>
        <v>0.01</v>
      </c>
    </row>
    <row r="925" spans="1:5" x14ac:dyDescent="0.25">
      <c r="A925">
        <v>924</v>
      </c>
      <c r="B925">
        <f t="shared" ca="1" si="42"/>
        <v>1</v>
      </c>
      <c r="C925">
        <f t="shared" ca="1" si="43"/>
        <v>2</v>
      </c>
      <c r="D925">
        <v>0.01</v>
      </c>
      <c r="E925">
        <f t="shared" ca="1" si="44"/>
        <v>0.02</v>
      </c>
    </row>
    <row r="926" spans="1:5" x14ac:dyDescent="0.25">
      <c r="A926">
        <v>925</v>
      </c>
      <c r="B926">
        <f t="shared" ca="1" si="42"/>
        <v>-1</v>
      </c>
      <c r="C926">
        <f t="shared" ca="1" si="43"/>
        <v>-1</v>
      </c>
      <c r="D926">
        <v>0.01</v>
      </c>
      <c r="E926">
        <f t="shared" ca="1" si="44"/>
        <v>0.01</v>
      </c>
    </row>
    <row r="927" spans="1:5" x14ac:dyDescent="0.25">
      <c r="A927">
        <v>926</v>
      </c>
      <c r="B927">
        <f t="shared" ca="1" si="42"/>
        <v>1</v>
      </c>
      <c r="C927">
        <f t="shared" ca="1" si="43"/>
        <v>2</v>
      </c>
      <c r="D927">
        <v>0.01</v>
      </c>
      <c r="E927">
        <f t="shared" ca="1" si="44"/>
        <v>0.02</v>
      </c>
    </row>
    <row r="928" spans="1:5" x14ac:dyDescent="0.25">
      <c r="A928">
        <v>927</v>
      </c>
      <c r="B928">
        <f t="shared" ca="1" si="42"/>
        <v>-1</v>
      </c>
      <c r="C928">
        <f t="shared" ca="1" si="43"/>
        <v>-1</v>
      </c>
      <c r="D928">
        <v>0.01</v>
      </c>
      <c r="E928">
        <f t="shared" ca="1" si="44"/>
        <v>0.01</v>
      </c>
    </row>
    <row r="929" spans="1:5" x14ac:dyDescent="0.25">
      <c r="A929">
        <v>928</v>
      </c>
      <c r="B929">
        <f t="shared" ca="1" si="42"/>
        <v>1</v>
      </c>
      <c r="C929">
        <f t="shared" ca="1" si="43"/>
        <v>2</v>
      </c>
      <c r="D929">
        <v>0.01</v>
      </c>
      <c r="E929">
        <f t="shared" ca="1" si="44"/>
        <v>0.02</v>
      </c>
    </row>
    <row r="930" spans="1:5" x14ac:dyDescent="0.25">
      <c r="A930">
        <v>929</v>
      </c>
      <c r="B930">
        <f t="shared" ca="1" si="42"/>
        <v>-1</v>
      </c>
      <c r="C930">
        <f t="shared" ca="1" si="43"/>
        <v>-1</v>
      </c>
      <c r="D930">
        <v>0.01</v>
      </c>
      <c r="E930">
        <f t="shared" ca="1" si="44"/>
        <v>0.01</v>
      </c>
    </row>
    <row r="931" spans="1:5" x14ac:dyDescent="0.25">
      <c r="A931">
        <v>930</v>
      </c>
      <c r="B931">
        <f t="shared" ca="1" si="42"/>
        <v>1</v>
      </c>
      <c r="C931">
        <f t="shared" ca="1" si="43"/>
        <v>2</v>
      </c>
      <c r="D931">
        <v>0.01</v>
      </c>
      <c r="E931">
        <f t="shared" ca="1" si="44"/>
        <v>0.02</v>
      </c>
    </row>
    <row r="932" spans="1:5" x14ac:dyDescent="0.25">
      <c r="A932">
        <v>931</v>
      </c>
      <c r="B932">
        <f t="shared" ca="1" si="42"/>
        <v>1</v>
      </c>
      <c r="C932">
        <f t="shared" ca="1" si="43"/>
        <v>2</v>
      </c>
      <c r="D932">
        <v>0.01</v>
      </c>
      <c r="E932">
        <f t="shared" ca="1" si="44"/>
        <v>0.02</v>
      </c>
    </row>
    <row r="933" spans="1:5" x14ac:dyDescent="0.25">
      <c r="A933">
        <v>932</v>
      </c>
      <c r="B933">
        <f t="shared" ca="1" si="42"/>
        <v>1</v>
      </c>
      <c r="C933">
        <f t="shared" ca="1" si="43"/>
        <v>2</v>
      </c>
      <c r="D933">
        <v>0.01</v>
      </c>
      <c r="E933">
        <f t="shared" ca="1" si="44"/>
        <v>0.02</v>
      </c>
    </row>
    <row r="934" spans="1:5" x14ac:dyDescent="0.25">
      <c r="A934">
        <v>933</v>
      </c>
      <c r="B934">
        <f t="shared" ca="1" si="42"/>
        <v>-1</v>
      </c>
      <c r="C934">
        <f t="shared" ca="1" si="43"/>
        <v>-1</v>
      </c>
      <c r="D934">
        <v>0.01</v>
      </c>
      <c r="E934">
        <f t="shared" ca="1" si="44"/>
        <v>0.01</v>
      </c>
    </row>
    <row r="935" spans="1:5" x14ac:dyDescent="0.25">
      <c r="A935">
        <v>934</v>
      </c>
      <c r="B935">
        <f t="shared" ca="1" si="42"/>
        <v>-1</v>
      </c>
      <c r="C935">
        <f t="shared" ca="1" si="43"/>
        <v>-1</v>
      </c>
      <c r="D935">
        <v>0.01</v>
      </c>
      <c r="E935">
        <f t="shared" ca="1" si="44"/>
        <v>0.01</v>
      </c>
    </row>
    <row r="936" spans="1:5" x14ac:dyDescent="0.25">
      <c r="A936">
        <v>935</v>
      </c>
      <c r="B936">
        <f t="shared" ca="1" si="42"/>
        <v>-1</v>
      </c>
      <c r="C936">
        <f t="shared" ca="1" si="43"/>
        <v>-1</v>
      </c>
      <c r="D936">
        <v>0.01</v>
      </c>
      <c r="E936">
        <f t="shared" ca="1" si="44"/>
        <v>0.01</v>
      </c>
    </row>
    <row r="937" spans="1:5" x14ac:dyDescent="0.25">
      <c r="A937">
        <v>936</v>
      </c>
      <c r="B937">
        <f t="shared" ca="1" si="42"/>
        <v>1</v>
      </c>
      <c r="C937">
        <f t="shared" ca="1" si="43"/>
        <v>2</v>
      </c>
      <c r="D937">
        <v>0.01</v>
      </c>
      <c r="E937">
        <f t="shared" ca="1" si="44"/>
        <v>0.02</v>
      </c>
    </row>
    <row r="938" spans="1:5" x14ac:dyDescent="0.25">
      <c r="A938">
        <v>937</v>
      </c>
      <c r="B938">
        <f t="shared" ca="1" si="42"/>
        <v>1</v>
      </c>
      <c r="C938">
        <f t="shared" ca="1" si="43"/>
        <v>2</v>
      </c>
      <c r="D938">
        <v>0.01</v>
      </c>
      <c r="E938">
        <f t="shared" ca="1" si="44"/>
        <v>0.02</v>
      </c>
    </row>
    <row r="939" spans="1:5" x14ac:dyDescent="0.25">
      <c r="A939">
        <v>938</v>
      </c>
      <c r="B939">
        <f t="shared" ca="1" si="42"/>
        <v>1</v>
      </c>
      <c r="C939">
        <f t="shared" ca="1" si="43"/>
        <v>2</v>
      </c>
      <c r="D939">
        <v>0.01</v>
      </c>
      <c r="E939">
        <f t="shared" ca="1" si="44"/>
        <v>0.02</v>
      </c>
    </row>
    <row r="940" spans="1:5" x14ac:dyDescent="0.25">
      <c r="A940">
        <v>939</v>
      </c>
      <c r="B940">
        <f t="shared" ca="1" si="42"/>
        <v>1</v>
      </c>
      <c r="C940">
        <f t="shared" ca="1" si="43"/>
        <v>2</v>
      </c>
      <c r="D940">
        <v>0.01</v>
      </c>
      <c r="E940">
        <f t="shared" ca="1" si="44"/>
        <v>0.02</v>
      </c>
    </row>
    <row r="941" spans="1:5" x14ac:dyDescent="0.25">
      <c r="A941">
        <v>940</v>
      </c>
      <c r="B941">
        <f t="shared" ca="1" si="42"/>
        <v>-1</v>
      </c>
      <c r="C941">
        <f t="shared" ca="1" si="43"/>
        <v>-1</v>
      </c>
      <c r="D941">
        <v>0.01</v>
      </c>
      <c r="E941">
        <f t="shared" ca="1" si="44"/>
        <v>0.01</v>
      </c>
    </row>
    <row r="942" spans="1:5" x14ac:dyDescent="0.25">
      <c r="A942">
        <v>941</v>
      </c>
      <c r="B942">
        <f t="shared" ca="1" si="42"/>
        <v>-1</v>
      </c>
      <c r="C942">
        <f t="shared" ca="1" si="43"/>
        <v>-1</v>
      </c>
      <c r="D942">
        <v>0.01</v>
      </c>
      <c r="E942">
        <f t="shared" ca="1" si="44"/>
        <v>0.01</v>
      </c>
    </row>
    <row r="943" spans="1:5" x14ac:dyDescent="0.25">
      <c r="A943">
        <v>942</v>
      </c>
      <c r="B943">
        <f t="shared" ca="1" si="42"/>
        <v>1</v>
      </c>
      <c r="C943">
        <f t="shared" ca="1" si="43"/>
        <v>2</v>
      </c>
      <c r="D943">
        <v>0.01</v>
      </c>
      <c r="E943">
        <f t="shared" ca="1" si="44"/>
        <v>0.02</v>
      </c>
    </row>
    <row r="944" spans="1:5" x14ac:dyDescent="0.25">
      <c r="A944">
        <v>943</v>
      </c>
      <c r="B944">
        <f t="shared" ca="1" si="42"/>
        <v>-1</v>
      </c>
      <c r="C944">
        <f t="shared" ca="1" si="43"/>
        <v>-1</v>
      </c>
      <c r="D944">
        <v>0.01</v>
      </c>
      <c r="E944">
        <f t="shared" ca="1" si="44"/>
        <v>0.01</v>
      </c>
    </row>
    <row r="945" spans="1:5" x14ac:dyDescent="0.25">
      <c r="A945">
        <v>944</v>
      </c>
      <c r="B945">
        <f t="shared" ca="1" si="42"/>
        <v>-1</v>
      </c>
      <c r="C945">
        <f t="shared" ca="1" si="43"/>
        <v>-1</v>
      </c>
      <c r="D945">
        <v>0.01</v>
      </c>
      <c r="E945">
        <f t="shared" ca="1" si="44"/>
        <v>0.01</v>
      </c>
    </row>
    <row r="946" spans="1:5" x14ac:dyDescent="0.25">
      <c r="A946">
        <v>945</v>
      </c>
      <c r="B946">
        <f t="shared" ca="1" si="42"/>
        <v>1</v>
      </c>
      <c r="C946">
        <f t="shared" ca="1" si="43"/>
        <v>2</v>
      </c>
      <c r="D946">
        <v>0.01</v>
      </c>
      <c r="E946">
        <f t="shared" ca="1" si="44"/>
        <v>0.02</v>
      </c>
    </row>
    <row r="947" spans="1:5" x14ac:dyDescent="0.25">
      <c r="A947">
        <v>946</v>
      </c>
      <c r="B947">
        <f t="shared" ca="1" si="42"/>
        <v>-1</v>
      </c>
      <c r="C947">
        <f t="shared" ca="1" si="43"/>
        <v>-1</v>
      </c>
      <c r="D947">
        <v>0.01</v>
      </c>
      <c r="E947">
        <f t="shared" ca="1" si="44"/>
        <v>0.01</v>
      </c>
    </row>
    <row r="948" spans="1:5" x14ac:dyDescent="0.25">
      <c r="A948">
        <v>947</v>
      </c>
      <c r="B948">
        <f t="shared" ca="1" si="42"/>
        <v>1</v>
      </c>
      <c r="C948">
        <f t="shared" ca="1" si="43"/>
        <v>2</v>
      </c>
      <c r="D948">
        <v>0.01</v>
      </c>
      <c r="E948">
        <f t="shared" ca="1" si="44"/>
        <v>0.02</v>
      </c>
    </row>
    <row r="949" spans="1:5" x14ac:dyDescent="0.25">
      <c r="A949">
        <v>948</v>
      </c>
      <c r="B949">
        <f t="shared" ca="1" si="42"/>
        <v>1</v>
      </c>
      <c r="C949">
        <f t="shared" ca="1" si="43"/>
        <v>2</v>
      </c>
      <c r="D949">
        <v>0.01</v>
      </c>
      <c r="E949">
        <f t="shared" ca="1" si="44"/>
        <v>0.02</v>
      </c>
    </row>
    <row r="950" spans="1:5" x14ac:dyDescent="0.25">
      <c r="A950">
        <v>949</v>
      </c>
      <c r="B950">
        <f t="shared" ca="1" si="42"/>
        <v>-1</v>
      </c>
      <c r="C950">
        <f t="shared" ca="1" si="43"/>
        <v>-1</v>
      </c>
      <c r="D950">
        <v>0.01</v>
      </c>
      <c r="E950">
        <f t="shared" ca="1" si="44"/>
        <v>0.01</v>
      </c>
    </row>
    <row r="951" spans="1:5" x14ac:dyDescent="0.25">
      <c r="A951">
        <v>950</v>
      </c>
      <c r="B951">
        <f t="shared" ca="1" si="42"/>
        <v>1</v>
      </c>
      <c r="C951">
        <f t="shared" ca="1" si="43"/>
        <v>2</v>
      </c>
      <c r="D951">
        <v>0.01</v>
      </c>
      <c r="E951">
        <f t="shared" ca="1" si="44"/>
        <v>0.02</v>
      </c>
    </row>
    <row r="952" spans="1:5" x14ac:dyDescent="0.25">
      <c r="A952">
        <v>951</v>
      </c>
      <c r="B952">
        <f t="shared" ca="1" si="42"/>
        <v>-1</v>
      </c>
      <c r="C952">
        <f t="shared" ca="1" si="43"/>
        <v>-1</v>
      </c>
      <c r="D952">
        <v>0.01</v>
      </c>
      <c r="E952">
        <f t="shared" ca="1" si="44"/>
        <v>0.01</v>
      </c>
    </row>
    <row r="953" spans="1:5" x14ac:dyDescent="0.25">
      <c r="A953">
        <v>952</v>
      </c>
      <c r="B953">
        <f t="shared" ca="1" si="42"/>
        <v>-1</v>
      </c>
      <c r="C953">
        <f t="shared" ca="1" si="43"/>
        <v>-1</v>
      </c>
      <c r="D953">
        <v>0.01</v>
      </c>
      <c r="E953">
        <f t="shared" ca="1" si="44"/>
        <v>0.01</v>
      </c>
    </row>
    <row r="954" spans="1:5" x14ac:dyDescent="0.25">
      <c r="A954">
        <v>953</v>
      </c>
      <c r="B954">
        <f t="shared" ca="1" si="42"/>
        <v>-1</v>
      </c>
      <c r="C954">
        <f t="shared" ca="1" si="43"/>
        <v>-1</v>
      </c>
      <c r="D954">
        <v>0.01</v>
      </c>
      <c r="E954">
        <f t="shared" ca="1" si="44"/>
        <v>0.01</v>
      </c>
    </row>
    <row r="955" spans="1:5" x14ac:dyDescent="0.25">
      <c r="A955">
        <v>954</v>
      </c>
      <c r="B955">
        <f t="shared" ca="1" si="42"/>
        <v>-1</v>
      </c>
      <c r="C955">
        <f t="shared" ca="1" si="43"/>
        <v>-1</v>
      </c>
      <c r="D955">
        <v>0.01</v>
      </c>
      <c r="E955">
        <f t="shared" ca="1" si="44"/>
        <v>0.01</v>
      </c>
    </row>
    <row r="956" spans="1:5" x14ac:dyDescent="0.25">
      <c r="A956">
        <v>955</v>
      </c>
      <c r="B956">
        <f t="shared" ca="1" si="42"/>
        <v>-1</v>
      </c>
      <c r="C956">
        <f t="shared" ca="1" si="43"/>
        <v>-1</v>
      </c>
      <c r="D956">
        <v>0.01</v>
      </c>
      <c r="E956">
        <f t="shared" ca="1" si="44"/>
        <v>0.01</v>
      </c>
    </row>
    <row r="957" spans="1:5" x14ac:dyDescent="0.25">
      <c r="A957">
        <v>956</v>
      </c>
      <c r="B957">
        <f t="shared" ca="1" si="42"/>
        <v>-1</v>
      </c>
      <c r="C957">
        <f t="shared" ca="1" si="43"/>
        <v>-1</v>
      </c>
      <c r="D957">
        <v>0.01</v>
      </c>
      <c r="E957">
        <f t="shared" ca="1" si="44"/>
        <v>0.01</v>
      </c>
    </row>
    <row r="958" spans="1:5" x14ac:dyDescent="0.25">
      <c r="A958">
        <v>957</v>
      </c>
      <c r="B958">
        <f t="shared" ca="1" si="42"/>
        <v>1</v>
      </c>
      <c r="C958">
        <f t="shared" ca="1" si="43"/>
        <v>2</v>
      </c>
      <c r="D958">
        <v>0.01</v>
      </c>
      <c r="E958">
        <f t="shared" ca="1" si="44"/>
        <v>0.02</v>
      </c>
    </row>
    <row r="959" spans="1:5" x14ac:dyDescent="0.25">
      <c r="A959">
        <v>958</v>
      </c>
      <c r="B959">
        <f t="shared" ca="1" si="42"/>
        <v>-1</v>
      </c>
      <c r="C959">
        <f t="shared" ca="1" si="43"/>
        <v>-1</v>
      </c>
      <c r="D959">
        <v>0.01</v>
      </c>
      <c r="E959">
        <f t="shared" ca="1" si="44"/>
        <v>0.01</v>
      </c>
    </row>
    <row r="960" spans="1:5" x14ac:dyDescent="0.25">
      <c r="A960">
        <v>959</v>
      </c>
      <c r="B960">
        <f t="shared" ca="1" si="42"/>
        <v>-1</v>
      </c>
      <c r="C960">
        <f t="shared" ca="1" si="43"/>
        <v>-1</v>
      </c>
      <c r="D960">
        <v>0.01</v>
      </c>
      <c r="E960">
        <f t="shared" ca="1" si="44"/>
        <v>0.01</v>
      </c>
    </row>
    <row r="961" spans="1:5" x14ac:dyDescent="0.25">
      <c r="A961">
        <v>960</v>
      </c>
      <c r="B961">
        <f t="shared" ca="1" si="42"/>
        <v>1</v>
      </c>
      <c r="C961">
        <f t="shared" ca="1" si="43"/>
        <v>2</v>
      </c>
      <c r="D961">
        <v>0.01</v>
      </c>
      <c r="E961">
        <f t="shared" ca="1" si="44"/>
        <v>0.02</v>
      </c>
    </row>
    <row r="962" spans="1:5" x14ac:dyDescent="0.25">
      <c r="A962">
        <v>961</v>
      </c>
      <c r="B962">
        <f t="shared" ref="B962:B1001" ca="1" si="45">IF(RAND()&lt;0.55,1,-1)</f>
        <v>-1</v>
      </c>
      <c r="C962">
        <f t="shared" ref="C962:C1025" ca="1" si="46">IF(B962=1,2,-1)</f>
        <v>-1</v>
      </c>
      <c r="D962">
        <v>0.01</v>
      </c>
      <c r="E962">
        <f t="shared" ref="E962:E1025" ca="1" si="47">B962*C962*D962</f>
        <v>0.01</v>
      </c>
    </row>
    <row r="963" spans="1:5" x14ac:dyDescent="0.25">
      <c r="A963">
        <v>962</v>
      </c>
      <c r="B963">
        <f t="shared" ca="1" si="45"/>
        <v>-1</v>
      </c>
      <c r="C963">
        <f t="shared" ca="1" si="46"/>
        <v>-1</v>
      </c>
      <c r="D963">
        <v>0.01</v>
      </c>
      <c r="E963">
        <f t="shared" ca="1" si="47"/>
        <v>0.01</v>
      </c>
    </row>
    <row r="964" spans="1:5" x14ac:dyDescent="0.25">
      <c r="A964">
        <v>963</v>
      </c>
      <c r="B964">
        <f t="shared" ca="1" si="45"/>
        <v>-1</v>
      </c>
      <c r="C964">
        <f t="shared" ca="1" si="46"/>
        <v>-1</v>
      </c>
      <c r="D964">
        <v>0.01</v>
      </c>
      <c r="E964">
        <f t="shared" ca="1" si="47"/>
        <v>0.01</v>
      </c>
    </row>
    <row r="965" spans="1:5" x14ac:dyDescent="0.25">
      <c r="A965">
        <v>964</v>
      </c>
      <c r="B965">
        <f t="shared" ca="1" si="45"/>
        <v>-1</v>
      </c>
      <c r="C965">
        <f t="shared" ca="1" si="46"/>
        <v>-1</v>
      </c>
      <c r="D965">
        <v>0.01</v>
      </c>
      <c r="E965">
        <f t="shared" ca="1" si="47"/>
        <v>0.01</v>
      </c>
    </row>
    <row r="966" spans="1:5" x14ac:dyDescent="0.25">
      <c r="A966">
        <v>965</v>
      </c>
      <c r="B966">
        <f t="shared" ca="1" si="45"/>
        <v>-1</v>
      </c>
      <c r="C966">
        <f t="shared" ca="1" si="46"/>
        <v>-1</v>
      </c>
      <c r="D966">
        <v>0.01</v>
      </c>
      <c r="E966">
        <f t="shared" ca="1" si="47"/>
        <v>0.01</v>
      </c>
    </row>
    <row r="967" spans="1:5" x14ac:dyDescent="0.25">
      <c r="A967">
        <v>966</v>
      </c>
      <c r="B967">
        <f t="shared" ca="1" si="45"/>
        <v>1</v>
      </c>
      <c r="C967">
        <f t="shared" ca="1" si="46"/>
        <v>2</v>
      </c>
      <c r="D967">
        <v>0.01</v>
      </c>
      <c r="E967">
        <f t="shared" ca="1" si="47"/>
        <v>0.02</v>
      </c>
    </row>
    <row r="968" spans="1:5" x14ac:dyDescent="0.25">
      <c r="A968">
        <v>967</v>
      </c>
      <c r="B968">
        <f t="shared" ca="1" si="45"/>
        <v>-1</v>
      </c>
      <c r="C968">
        <f t="shared" ca="1" si="46"/>
        <v>-1</v>
      </c>
      <c r="D968">
        <v>0.01</v>
      </c>
      <c r="E968">
        <f t="shared" ca="1" si="47"/>
        <v>0.01</v>
      </c>
    </row>
    <row r="969" spans="1:5" x14ac:dyDescent="0.25">
      <c r="A969">
        <v>968</v>
      </c>
      <c r="B969">
        <f t="shared" ca="1" si="45"/>
        <v>-1</v>
      </c>
      <c r="C969">
        <f t="shared" ca="1" si="46"/>
        <v>-1</v>
      </c>
      <c r="D969">
        <v>0.01</v>
      </c>
      <c r="E969">
        <f t="shared" ca="1" si="47"/>
        <v>0.01</v>
      </c>
    </row>
    <row r="970" spans="1:5" x14ac:dyDescent="0.25">
      <c r="A970">
        <v>969</v>
      </c>
      <c r="B970">
        <f t="shared" ca="1" si="45"/>
        <v>1</v>
      </c>
      <c r="C970">
        <f t="shared" ca="1" si="46"/>
        <v>2</v>
      </c>
      <c r="D970">
        <v>0.01</v>
      </c>
      <c r="E970">
        <f t="shared" ca="1" si="47"/>
        <v>0.02</v>
      </c>
    </row>
    <row r="971" spans="1:5" x14ac:dyDescent="0.25">
      <c r="A971">
        <v>970</v>
      </c>
      <c r="B971">
        <f t="shared" ca="1" si="45"/>
        <v>-1</v>
      </c>
      <c r="C971">
        <f t="shared" ca="1" si="46"/>
        <v>-1</v>
      </c>
      <c r="D971">
        <v>0.01</v>
      </c>
      <c r="E971">
        <f t="shared" ca="1" si="47"/>
        <v>0.01</v>
      </c>
    </row>
    <row r="972" spans="1:5" x14ac:dyDescent="0.25">
      <c r="A972">
        <v>971</v>
      </c>
      <c r="B972">
        <f t="shared" ca="1" si="45"/>
        <v>1</v>
      </c>
      <c r="C972">
        <f t="shared" ca="1" si="46"/>
        <v>2</v>
      </c>
      <c r="D972">
        <v>0.01</v>
      </c>
      <c r="E972">
        <f t="shared" ca="1" si="47"/>
        <v>0.02</v>
      </c>
    </row>
    <row r="973" spans="1:5" x14ac:dyDescent="0.25">
      <c r="A973">
        <v>972</v>
      </c>
      <c r="B973">
        <f t="shared" ca="1" si="45"/>
        <v>1</v>
      </c>
      <c r="C973">
        <f t="shared" ca="1" si="46"/>
        <v>2</v>
      </c>
      <c r="D973">
        <v>0.01</v>
      </c>
      <c r="E973">
        <f t="shared" ca="1" si="47"/>
        <v>0.02</v>
      </c>
    </row>
    <row r="974" spans="1:5" x14ac:dyDescent="0.25">
      <c r="A974">
        <v>973</v>
      </c>
      <c r="B974">
        <f t="shared" ca="1" si="45"/>
        <v>1</v>
      </c>
      <c r="C974">
        <f t="shared" ca="1" si="46"/>
        <v>2</v>
      </c>
      <c r="D974">
        <v>0.01</v>
      </c>
      <c r="E974">
        <f t="shared" ca="1" si="47"/>
        <v>0.02</v>
      </c>
    </row>
    <row r="975" spans="1:5" x14ac:dyDescent="0.25">
      <c r="A975">
        <v>974</v>
      </c>
      <c r="B975">
        <f t="shared" ca="1" si="45"/>
        <v>1</v>
      </c>
      <c r="C975">
        <f t="shared" ca="1" si="46"/>
        <v>2</v>
      </c>
      <c r="D975">
        <v>0.01</v>
      </c>
      <c r="E975">
        <f t="shared" ca="1" si="47"/>
        <v>0.02</v>
      </c>
    </row>
    <row r="976" spans="1:5" x14ac:dyDescent="0.25">
      <c r="A976">
        <v>975</v>
      </c>
      <c r="B976">
        <f t="shared" ca="1" si="45"/>
        <v>1</v>
      </c>
      <c r="C976">
        <f t="shared" ca="1" si="46"/>
        <v>2</v>
      </c>
      <c r="D976">
        <v>0.01</v>
      </c>
      <c r="E976">
        <f t="shared" ca="1" si="47"/>
        <v>0.02</v>
      </c>
    </row>
    <row r="977" spans="1:5" x14ac:dyDescent="0.25">
      <c r="A977">
        <v>976</v>
      </c>
      <c r="B977">
        <f t="shared" ca="1" si="45"/>
        <v>1</v>
      </c>
      <c r="C977">
        <f t="shared" ca="1" si="46"/>
        <v>2</v>
      </c>
      <c r="D977">
        <v>0.01</v>
      </c>
      <c r="E977">
        <f t="shared" ca="1" si="47"/>
        <v>0.02</v>
      </c>
    </row>
    <row r="978" spans="1:5" x14ac:dyDescent="0.25">
      <c r="A978">
        <v>977</v>
      </c>
      <c r="B978">
        <f t="shared" ca="1" si="45"/>
        <v>-1</v>
      </c>
      <c r="C978">
        <f t="shared" ca="1" si="46"/>
        <v>-1</v>
      </c>
      <c r="D978">
        <v>0.01</v>
      </c>
      <c r="E978">
        <f t="shared" ca="1" si="47"/>
        <v>0.01</v>
      </c>
    </row>
    <row r="979" spans="1:5" x14ac:dyDescent="0.25">
      <c r="A979">
        <v>978</v>
      </c>
      <c r="B979">
        <f t="shared" ca="1" si="45"/>
        <v>1</v>
      </c>
      <c r="C979">
        <f t="shared" ca="1" si="46"/>
        <v>2</v>
      </c>
      <c r="D979">
        <v>0.01</v>
      </c>
      <c r="E979">
        <f t="shared" ca="1" si="47"/>
        <v>0.02</v>
      </c>
    </row>
    <row r="980" spans="1:5" x14ac:dyDescent="0.25">
      <c r="A980">
        <v>979</v>
      </c>
      <c r="B980">
        <f t="shared" ca="1" si="45"/>
        <v>1</v>
      </c>
      <c r="C980">
        <f t="shared" ca="1" si="46"/>
        <v>2</v>
      </c>
      <c r="D980">
        <v>0.01</v>
      </c>
      <c r="E980">
        <f t="shared" ca="1" si="47"/>
        <v>0.02</v>
      </c>
    </row>
    <row r="981" spans="1:5" x14ac:dyDescent="0.25">
      <c r="A981">
        <v>980</v>
      </c>
      <c r="B981">
        <f t="shared" ca="1" si="45"/>
        <v>-1</v>
      </c>
      <c r="C981">
        <f t="shared" ca="1" si="46"/>
        <v>-1</v>
      </c>
      <c r="D981">
        <v>0.01</v>
      </c>
      <c r="E981">
        <f t="shared" ca="1" si="47"/>
        <v>0.01</v>
      </c>
    </row>
    <row r="982" spans="1:5" x14ac:dyDescent="0.25">
      <c r="A982">
        <v>981</v>
      </c>
      <c r="B982">
        <f t="shared" ca="1" si="45"/>
        <v>-1</v>
      </c>
      <c r="C982">
        <f t="shared" ca="1" si="46"/>
        <v>-1</v>
      </c>
      <c r="D982">
        <v>0.01</v>
      </c>
      <c r="E982">
        <f t="shared" ca="1" si="47"/>
        <v>0.01</v>
      </c>
    </row>
    <row r="983" spans="1:5" x14ac:dyDescent="0.25">
      <c r="A983">
        <v>982</v>
      </c>
      <c r="B983">
        <f t="shared" ca="1" si="45"/>
        <v>1</v>
      </c>
      <c r="C983">
        <f t="shared" ca="1" si="46"/>
        <v>2</v>
      </c>
      <c r="D983">
        <v>0.01</v>
      </c>
      <c r="E983">
        <f t="shared" ca="1" si="47"/>
        <v>0.02</v>
      </c>
    </row>
    <row r="984" spans="1:5" x14ac:dyDescent="0.25">
      <c r="A984">
        <v>983</v>
      </c>
      <c r="B984">
        <f t="shared" ca="1" si="45"/>
        <v>-1</v>
      </c>
      <c r="C984">
        <f t="shared" ca="1" si="46"/>
        <v>-1</v>
      </c>
      <c r="D984">
        <v>0.01</v>
      </c>
      <c r="E984">
        <f t="shared" ca="1" si="47"/>
        <v>0.01</v>
      </c>
    </row>
    <row r="985" spans="1:5" x14ac:dyDescent="0.25">
      <c r="A985">
        <v>984</v>
      </c>
      <c r="B985">
        <f t="shared" ca="1" si="45"/>
        <v>1</v>
      </c>
      <c r="C985">
        <f t="shared" ca="1" si="46"/>
        <v>2</v>
      </c>
      <c r="D985">
        <v>0.01</v>
      </c>
      <c r="E985">
        <f t="shared" ca="1" si="47"/>
        <v>0.02</v>
      </c>
    </row>
    <row r="986" spans="1:5" x14ac:dyDescent="0.25">
      <c r="A986">
        <v>985</v>
      </c>
      <c r="B986">
        <f t="shared" ca="1" si="45"/>
        <v>1</v>
      </c>
      <c r="C986">
        <f t="shared" ca="1" si="46"/>
        <v>2</v>
      </c>
      <c r="D986">
        <v>0.01</v>
      </c>
      <c r="E986">
        <f t="shared" ca="1" si="47"/>
        <v>0.02</v>
      </c>
    </row>
    <row r="987" spans="1:5" x14ac:dyDescent="0.25">
      <c r="A987">
        <v>986</v>
      </c>
      <c r="B987">
        <f t="shared" ca="1" si="45"/>
        <v>1</v>
      </c>
      <c r="C987">
        <f t="shared" ca="1" si="46"/>
        <v>2</v>
      </c>
      <c r="D987">
        <v>0.01</v>
      </c>
      <c r="E987">
        <f t="shared" ca="1" si="47"/>
        <v>0.02</v>
      </c>
    </row>
    <row r="988" spans="1:5" x14ac:dyDescent="0.25">
      <c r="A988">
        <v>987</v>
      </c>
      <c r="B988">
        <f t="shared" ca="1" si="45"/>
        <v>-1</v>
      </c>
      <c r="C988">
        <f t="shared" ca="1" si="46"/>
        <v>-1</v>
      </c>
      <c r="D988">
        <v>0.01</v>
      </c>
      <c r="E988">
        <f t="shared" ca="1" si="47"/>
        <v>0.01</v>
      </c>
    </row>
    <row r="989" spans="1:5" x14ac:dyDescent="0.25">
      <c r="A989">
        <v>988</v>
      </c>
      <c r="B989">
        <f t="shared" ca="1" si="45"/>
        <v>-1</v>
      </c>
      <c r="C989">
        <f t="shared" ca="1" si="46"/>
        <v>-1</v>
      </c>
      <c r="D989">
        <v>0.01</v>
      </c>
      <c r="E989">
        <f t="shared" ca="1" si="47"/>
        <v>0.01</v>
      </c>
    </row>
    <row r="990" spans="1:5" x14ac:dyDescent="0.25">
      <c r="A990">
        <v>989</v>
      </c>
      <c r="B990">
        <f t="shared" ca="1" si="45"/>
        <v>-1</v>
      </c>
      <c r="C990">
        <f t="shared" ca="1" si="46"/>
        <v>-1</v>
      </c>
      <c r="D990">
        <v>0.01</v>
      </c>
      <c r="E990">
        <f t="shared" ca="1" si="47"/>
        <v>0.01</v>
      </c>
    </row>
    <row r="991" spans="1:5" x14ac:dyDescent="0.25">
      <c r="A991">
        <v>990</v>
      </c>
      <c r="B991">
        <f t="shared" ca="1" si="45"/>
        <v>-1</v>
      </c>
      <c r="C991">
        <f t="shared" ca="1" si="46"/>
        <v>-1</v>
      </c>
      <c r="D991">
        <v>0.01</v>
      </c>
      <c r="E991">
        <f t="shared" ca="1" si="47"/>
        <v>0.01</v>
      </c>
    </row>
    <row r="992" spans="1:5" x14ac:dyDescent="0.25">
      <c r="A992">
        <v>991</v>
      </c>
      <c r="B992">
        <f t="shared" ca="1" si="45"/>
        <v>1</v>
      </c>
      <c r="C992">
        <f t="shared" ca="1" si="46"/>
        <v>2</v>
      </c>
      <c r="D992">
        <v>0.01</v>
      </c>
      <c r="E992">
        <f t="shared" ca="1" si="47"/>
        <v>0.02</v>
      </c>
    </row>
    <row r="993" spans="1:5" x14ac:dyDescent="0.25">
      <c r="A993">
        <v>992</v>
      </c>
      <c r="B993">
        <f t="shared" ca="1" si="45"/>
        <v>1</v>
      </c>
      <c r="C993">
        <f t="shared" ca="1" si="46"/>
        <v>2</v>
      </c>
      <c r="D993">
        <v>0.01</v>
      </c>
      <c r="E993">
        <f t="shared" ca="1" si="47"/>
        <v>0.02</v>
      </c>
    </row>
    <row r="994" spans="1:5" x14ac:dyDescent="0.25">
      <c r="A994">
        <v>993</v>
      </c>
      <c r="B994">
        <f t="shared" ca="1" si="45"/>
        <v>-1</v>
      </c>
      <c r="C994">
        <f t="shared" ca="1" si="46"/>
        <v>-1</v>
      </c>
      <c r="D994">
        <v>0.01</v>
      </c>
      <c r="E994">
        <f t="shared" ca="1" si="47"/>
        <v>0.01</v>
      </c>
    </row>
    <row r="995" spans="1:5" x14ac:dyDescent="0.25">
      <c r="A995">
        <v>994</v>
      </c>
      <c r="B995">
        <f t="shared" ca="1" si="45"/>
        <v>1</v>
      </c>
      <c r="C995">
        <f t="shared" ca="1" si="46"/>
        <v>2</v>
      </c>
      <c r="D995">
        <v>0.01</v>
      </c>
      <c r="E995">
        <f t="shared" ca="1" si="47"/>
        <v>0.02</v>
      </c>
    </row>
    <row r="996" spans="1:5" x14ac:dyDescent="0.25">
      <c r="A996">
        <v>995</v>
      </c>
      <c r="B996">
        <f t="shared" ca="1" si="45"/>
        <v>1</v>
      </c>
      <c r="C996">
        <f t="shared" ca="1" si="46"/>
        <v>2</v>
      </c>
      <c r="D996">
        <v>0.01</v>
      </c>
      <c r="E996">
        <f t="shared" ca="1" si="47"/>
        <v>0.02</v>
      </c>
    </row>
    <row r="997" spans="1:5" x14ac:dyDescent="0.25">
      <c r="A997">
        <v>996</v>
      </c>
      <c r="B997">
        <f t="shared" ca="1" si="45"/>
        <v>1</v>
      </c>
      <c r="C997">
        <f t="shared" ca="1" si="46"/>
        <v>2</v>
      </c>
      <c r="D997">
        <v>0.01</v>
      </c>
      <c r="E997">
        <f t="shared" ca="1" si="47"/>
        <v>0.02</v>
      </c>
    </row>
    <row r="998" spans="1:5" x14ac:dyDescent="0.25">
      <c r="A998">
        <v>997</v>
      </c>
      <c r="B998">
        <f t="shared" ca="1" si="45"/>
        <v>-1</v>
      </c>
      <c r="C998">
        <f t="shared" ca="1" si="46"/>
        <v>-1</v>
      </c>
      <c r="D998">
        <v>0.01</v>
      </c>
      <c r="E998">
        <f t="shared" ca="1" si="47"/>
        <v>0.01</v>
      </c>
    </row>
    <row r="999" spans="1:5" x14ac:dyDescent="0.25">
      <c r="A999">
        <v>998</v>
      </c>
      <c r="B999">
        <f t="shared" ca="1" si="45"/>
        <v>1</v>
      </c>
      <c r="C999">
        <f t="shared" ca="1" si="46"/>
        <v>2</v>
      </c>
      <c r="D999">
        <v>0.01</v>
      </c>
      <c r="E999">
        <f t="shared" ca="1" si="47"/>
        <v>0.02</v>
      </c>
    </row>
    <row r="1000" spans="1:5" x14ac:dyDescent="0.25">
      <c r="A1000">
        <v>999</v>
      </c>
      <c r="B1000">
        <f t="shared" ca="1" si="45"/>
        <v>1</v>
      </c>
      <c r="C1000">
        <f t="shared" ca="1" si="46"/>
        <v>2</v>
      </c>
      <c r="D1000">
        <v>0.01</v>
      </c>
      <c r="E1000">
        <f t="shared" ca="1" si="47"/>
        <v>0.02</v>
      </c>
    </row>
    <row r="1001" spans="1:5" x14ac:dyDescent="0.25">
      <c r="A1001">
        <v>1000</v>
      </c>
      <c r="B1001">
        <f t="shared" ca="1" si="45"/>
        <v>1</v>
      </c>
      <c r="C1001">
        <f t="shared" ca="1" si="46"/>
        <v>2</v>
      </c>
      <c r="D1001">
        <v>0.01</v>
      </c>
      <c r="E1001">
        <f t="shared" ca="1" si="47"/>
        <v>0.02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4"/>
  <sheetViews>
    <sheetView workbookViewId="0"/>
  </sheetViews>
  <sheetFormatPr defaultRowHeight="15" x14ac:dyDescent="0.25"/>
  <sheetData>
    <row r="1" spans="1:4" x14ac:dyDescent="0.25">
      <c r="A1" s="1" t="s">
        <v>24</v>
      </c>
      <c r="B1" s="1" t="s">
        <v>424</v>
      </c>
      <c r="C1" s="1" t="s">
        <v>425</v>
      </c>
      <c r="D1" s="1" t="s">
        <v>426</v>
      </c>
    </row>
    <row r="2" spans="1:4" x14ac:dyDescent="0.25">
      <c r="A2" t="s">
        <v>427</v>
      </c>
      <c r="B2">
        <v>0.2</v>
      </c>
      <c r="C2">
        <v>0.25</v>
      </c>
      <c r="D2">
        <v>0.15</v>
      </c>
    </row>
    <row r="3" spans="1:4" x14ac:dyDescent="0.25">
      <c r="A3" t="s">
        <v>428</v>
      </c>
      <c r="B3">
        <v>0.25</v>
      </c>
      <c r="C3">
        <v>0.2</v>
      </c>
      <c r="D3">
        <v>0.1</v>
      </c>
    </row>
    <row r="4" spans="1:4" x14ac:dyDescent="0.25">
      <c r="A4" t="s">
        <v>429</v>
      </c>
      <c r="B4">
        <v>0.3</v>
      </c>
      <c r="C4">
        <v>0.15</v>
      </c>
      <c r="D4">
        <v>0.05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2"/>
  <sheetViews>
    <sheetView workbookViewId="0"/>
  </sheetViews>
  <sheetFormatPr defaultRowHeight="15" x14ac:dyDescent="0.25"/>
  <sheetData>
    <row r="1" spans="1:4" x14ac:dyDescent="0.25">
      <c r="A1" s="1" t="s">
        <v>430</v>
      </c>
      <c r="B1" s="1" t="s">
        <v>431</v>
      </c>
      <c r="C1" s="1" t="s">
        <v>432</v>
      </c>
      <c r="D1" s="1" t="s">
        <v>433</v>
      </c>
    </row>
    <row r="2" spans="1:4" x14ac:dyDescent="0.25">
      <c r="C2">
        <f>A2-B2</f>
        <v>0</v>
      </c>
      <c r="D2" t="str">
        <f>IF(C2&gt;0,"UPTREND",IF(C2&lt;0,"DOWNTREND","FLAT"))</f>
        <v>FLAT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2"/>
  <sheetViews>
    <sheetView workbookViewId="0"/>
  </sheetViews>
  <sheetFormatPr defaultRowHeight="15" x14ac:dyDescent="0.25"/>
  <sheetData>
    <row r="1" spans="1:4" x14ac:dyDescent="0.25">
      <c r="A1" s="1" t="s">
        <v>434</v>
      </c>
      <c r="B1" s="1" t="s">
        <v>435</v>
      </c>
      <c r="C1" s="1" t="s">
        <v>436</v>
      </c>
      <c r="D1" s="1" t="s">
        <v>437</v>
      </c>
    </row>
    <row r="2" spans="1:4" x14ac:dyDescent="0.25">
      <c r="C2" t="e">
        <f>CORREL(A2:A21,B2:B21)</f>
        <v>#DIV/0!</v>
      </c>
      <c r="D2" t="e">
        <f>IF(C2&gt;0.8,"BLOCK","ALLOW")</f>
        <v>#DIV/0!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6"/>
  <sheetViews>
    <sheetView workbookViewId="0"/>
  </sheetViews>
  <sheetFormatPr defaultRowHeight="15" x14ac:dyDescent="0.25"/>
  <sheetData>
    <row r="1" spans="1:4" x14ac:dyDescent="0.25">
      <c r="A1" s="1" t="s">
        <v>438</v>
      </c>
      <c r="B1" s="1" t="s">
        <v>439</v>
      </c>
      <c r="C1" s="1" t="s">
        <v>440</v>
      </c>
      <c r="D1" s="1" t="s">
        <v>441</v>
      </c>
    </row>
    <row r="2" spans="1:4" x14ac:dyDescent="0.25">
      <c r="A2" t="s">
        <v>442</v>
      </c>
      <c r="C2" t="e">
        <f>B2/SUM(B2:B6)</f>
        <v>#DIV/0!</v>
      </c>
      <c r="D2" t="e">
        <f>C2*100000</f>
        <v>#DIV/0!</v>
      </c>
    </row>
    <row r="3" spans="1:4" x14ac:dyDescent="0.25">
      <c r="A3" t="s">
        <v>443</v>
      </c>
      <c r="C3" t="e">
        <f>B3/SUM(B2:B6)</f>
        <v>#DIV/0!</v>
      </c>
      <c r="D3" t="e">
        <f>C3*100000</f>
        <v>#DIV/0!</v>
      </c>
    </row>
    <row r="4" spans="1:4" x14ac:dyDescent="0.25">
      <c r="A4" t="s">
        <v>444</v>
      </c>
      <c r="C4" t="e">
        <f>B4/SUM(B2:B6)</f>
        <v>#DIV/0!</v>
      </c>
      <c r="D4" t="e">
        <f>C4*100000</f>
        <v>#DIV/0!</v>
      </c>
    </row>
    <row r="5" spans="1:4" x14ac:dyDescent="0.25">
      <c r="A5" t="s">
        <v>445</v>
      </c>
      <c r="C5" t="e">
        <f>B5/SUM(B2:B6)</f>
        <v>#DIV/0!</v>
      </c>
      <c r="D5" t="e">
        <f>C5*100000</f>
        <v>#DIV/0!</v>
      </c>
    </row>
    <row r="6" spans="1:4" x14ac:dyDescent="0.25">
      <c r="A6" t="s">
        <v>446</v>
      </c>
      <c r="C6" t="e">
        <f>B6/SUM(B2:B6)</f>
        <v>#DIV/0!</v>
      </c>
      <c r="D6" t="e">
        <f>C6*100000</f>
        <v>#DIV/0!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201"/>
  <sheetViews>
    <sheetView workbookViewId="0"/>
  </sheetViews>
  <sheetFormatPr defaultRowHeight="15" x14ac:dyDescent="0.25"/>
  <sheetData>
    <row r="1" spans="1:4" x14ac:dyDescent="0.25">
      <c r="A1" s="1" t="s">
        <v>447</v>
      </c>
      <c r="B1" s="1" t="s">
        <v>448</v>
      </c>
      <c r="C1" s="1" t="s">
        <v>449</v>
      </c>
      <c r="D1" s="1" t="s">
        <v>450</v>
      </c>
    </row>
    <row r="2" spans="1:4" x14ac:dyDescent="0.25">
      <c r="A2">
        <v>1</v>
      </c>
      <c r="B2">
        <f t="shared" ref="B2:B33" ca="1" si="0">IF(RAND()&lt;0.55,1,-1)</f>
        <v>1</v>
      </c>
      <c r="C2">
        <f t="shared" ref="C2:C33" ca="1" si="1">B2*0.02</f>
        <v>0.02</v>
      </c>
      <c r="D2">
        <f ca="1">100000*(1+C2)</f>
        <v>102000</v>
      </c>
    </row>
    <row r="3" spans="1:4" x14ac:dyDescent="0.25">
      <c r="A3">
        <v>2</v>
      </c>
      <c r="B3">
        <f t="shared" ca="1" si="0"/>
        <v>-1</v>
      </c>
      <c r="C3">
        <f t="shared" ca="1" si="1"/>
        <v>-0.02</v>
      </c>
      <c r="D3">
        <f t="shared" ref="D3:D34" ca="1" si="2">D2*(1+C3)</f>
        <v>99960</v>
      </c>
    </row>
    <row r="4" spans="1:4" x14ac:dyDescent="0.25">
      <c r="A4">
        <v>3</v>
      </c>
      <c r="B4">
        <f t="shared" ca="1" si="0"/>
        <v>1</v>
      </c>
      <c r="C4">
        <f t="shared" ca="1" si="1"/>
        <v>0.02</v>
      </c>
      <c r="D4">
        <f t="shared" ca="1" si="2"/>
        <v>101959.2</v>
      </c>
    </row>
    <row r="5" spans="1:4" x14ac:dyDescent="0.25">
      <c r="A5">
        <v>4</v>
      </c>
      <c r="B5">
        <f t="shared" ca="1" si="0"/>
        <v>1</v>
      </c>
      <c r="C5">
        <f t="shared" ca="1" si="1"/>
        <v>0.02</v>
      </c>
      <c r="D5">
        <f t="shared" ca="1" si="2"/>
        <v>103998.38400000001</v>
      </c>
    </row>
    <row r="6" spans="1:4" x14ac:dyDescent="0.25">
      <c r="A6">
        <v>5</v>
      </c>
      <c r="B6">
        <f t="shared" ca="1" si="0"/>
        <v>1</v>
      </c>
      <c r="C6">
        <f t="shared" ca="1" si="1"/>
        <v>0.02</v>
      </c>
      <c r="D6">
        <f t="shared" ca="1" si="2"/>
        <v>106078.35168000001</v>
      </c>
    </row>
    <row r="7" spans="1:4" x14ac:dyDescent="0.25">
      <c r="A7">
        <v>6</v>
      </c>
      <c r="B7">
        <f t="shared" ca="1" si="0"/>
        <v>1</v>
      </c>
      <c r="C7">
        <f t="shared" ca="1" si="1"/>
        <v>0.02</v>
      </c>
      <c r="D7">
        <f t="shared" ca="1" si="2"/>
        <v>108199.91871360001</v>
      </c>
    </row>
    <row r="8" spans="1:4" x14ac:dyDescent="0.25">
      <c r="A8">
        <v>7</v>
      </c>
      <c r="B8">
        <f t="shared" ca="1" si="0"/>
        <v>1</v>
      </c>
      <c r="C8">
        <f t="shared" ca="1" si="1"/>
        <v>0.02</v>
      </c>
      <c r="D8">
        <f t="shared" ca="1" si="2"/>
        <v>110363.91708787202</v>
      </c>
    </row>
    <row r="9" spans="1:4" x14ac:dyDescent="0.25">
      <c r="A9">
        <v>8</v>
      </c>
      <c r="B9">
        <f t="shared" ca="1" si="0"/>
        <v>-1</v>
      </c>
      <c r="C9">
        <f t="shared" ca="1" si="1"/>
        <v>-0.02</v>
      </c>
      <c r="D9">
        <f t="shared" ca="1" si="2"/>
        <v>108156.63874611458</v>
      </c>
    </row>
    <row r="10" spans="1:4" x14ac:dyDescent="0.25">
      <c r="A10">
        <v>9</v>
      </c>
      <c r="B10">
        <f t="shared" ca="1" si="0"/>
        <v>1</v>
      </c>
      <c r="C10">
        <f t="shared" ca="1" si="1"/>
        <v>0.02</v>
      </c>
      <c r="D10">
        <f t="shared" ca="1" si="2"/>
        <v>110319.77152103688</v>
      </c>
    </row>
    <row r="11" spans="1:4" x14ac:dyDescent="0.25">
      <c r="A11">
        <v>10</v>
      </c>
      <c r="B11">
        <f t="shared" ca="1" si="0"/>
        <v>1</v>
      </c>
      <c r="C11">
        <f t="shared" ca="1" si="1"/>
        <v>0.02</v>
      </c>
      <c r="D11">
        <f t="shared" ca="1" si="2"/>
        <v>112526.16695145762</v>
      </c>
    </row>
    <row r="12" spans="1:4" x14ac:dyDescent="0.25">
      <c r="A12">
        <v>11</v>
      </c>
      <c r="B12">
        <f t="shared" ca="1" si="0"/>
        <v>1</v>
      </c>
      <c r="C12">
        <f t="shared" ca="1" si="1"/>
        <v>0.02</v>
      </c>
      <c r="D12">
        <f t="shared" ca="1" si="2"/>
        <v>114776.69029048677</v>
      </c>
    </row>
    <row r="13" spans="1:4" x14ac:dyDescent="0.25">
      <c r="A13">
        <v>12</v>
      </c>
      <c r="B13">
        <f t="shared" ca="1" si="0"/>
        <v>-1</v>
      </c>
      <c r="C13">
        <f t="shared" ca="1" si="1"/>
        <v>-0.02</v>
      </c>
      <c r="D13">
        <f t="shared" ca="1" si="2"/>
        <v>112481.15648467703</v>
      </c>
    </row>
    <row r="14" spans="1:4" x14ac:dyDescent="0.25">
      <c r="A14">
        <v>13</v>
      </c>
      <c r="B14">
        <f t="shared" ca="1" si="0"/>
        <v>-1</v>
      </c>
      <c r="C14">
        <f t="shared" ca="1" si="1"/>
        <v>-0.02</v>
      </c>
      <c r="D14">
        <f t="shared" ca="1" si="2"/>
        <v>110231.53335498349</v>
      </c>
    </row>
    <row r="15" spans="1:4" x14ac:dyDescent="0.25">
      <c r="A15">
        <v>14</v>
      </c>
      <c r="B15">
        <f t="shared" ca="1" si="0"/>
        <v>1</v>
      </c>
      <c r="C15">
        <f t="shared" ca="1" si="1"/>
        <v>0.02</v>
      </c>
      <c r="D15">
        <f t="shared" ca="1" si="2"/>
        <v>112436.16402208316</v>
      </c>
    </row>
    <row r="16" spans="1:4" x14ac:dyDescent="0.25">
      <c r="A16">
        <v>15</v>
      </c>
      <c r="B16">
        <f t="shared" ca="1" si="0"/>
        <v>1</v>
      </c>
      <c r="C16">
        <f t="shared" ca="1" si="1"/>
        <v>0.02</v>
      </c>
      <c r="D16">
        <f t="shared" ca="1" si="2"/>
        <v>114684.88730252483</v>
      </c>
    </row>
    <row r="17" spans="1:4" x14ac:dyDescent="0.25">
      <c r="A17">
        <v>16</v>
      </c>
      <c r="B17">
        <f t="shared" ca="1" si="0"/>
        <v>-1</v>
      </c>
      <c r="C17">
        <f t="shared" ca="1" si="1"/>
        <v>-0.02</v>
      </c>
      <c r="D17">
        <f t="shared" ca="1" si="2"/>
        <v>112391.18955647433</v>
      </c>
    </row>
    <row r="18" spans="1:4" x14ac:dyDescent="0.25">
      <c r="A18">
        <v>17</v>
      </c>
      <c r="B18">
        <f t="shared" ca="1" si="0"/>
        <v>1</v>
      </c>
      <c r="C18">
        <f t="shared" ca="1" si="1"/>
        <v>0.02</v>
      </c>
      <c r="D18">
        <f t="shared" ca="1" si="2"/>
        <v>114639.01334760382</v>
      </c>
    </row>
    <row r="19" spans="1:4" x14ac:dyDescent="0.25">
      <c r="A19">
        <v>18</v>
      </c>
      <c r="B19">
        <f t="shared" ca="1" si="0"/>
        <v>-1</v>
      </c>
      <c r="C19">
        <f t="shared" ca="1" si="1"/>
        <v>-0.02</v>
      </c>
      <c r="D19">
        <f t="shared" ca="1" si="2"/>
        <v>112346.23308065174</v>
      </c>
    </row>
    <row r="20" spans="1:4" x14ac:dyDescent="0.25">
      <c r="A20">
        <v>19</v>
      </c>
      <c r="B20">
        <f t="shared" ca="1" si="0"/>
        <v>-1</v>
      </c>
      <c r="C20">
        <f t="shared" ca="1" si="1"/>
        <v>-0.02</v>
      </c>
      <c r="D20">
        <f t="shared" ca="1" si="2"/>
        <v>110099.3084190387</v>
      </c>
    </row>
    <row r="21" spans="1:4" x14ac:dyDescent="0.25">
      <c r="A21">
        <v>20</v>
      </c>
      <c r="B21">
        <f t="shared" ca="1" si="0"/>
        <v>-1</v>
      </c>
      <c r="C21">
        <f t="shared" ca="1" si="1"/>
        <v>-0.02</v>
      </c>
      <c r="D21">
        <f t="shared" ca="1" si="2"/>
        <v>107897.32225065792</v>
      </c>
    </row>
    <row r="22" spans="1:4" x14ac:dyDescent="0.25">
      <c r="A22">
        <v>21</v>
      </c>
      <c r="B22">
        <f t="shared" ca="1" si="0"/>
        <v>1</v>
      </c>
      <c r="C22">
        <f t="shared" ca="1" si="1"/>
        <v>0.02</v>
      </c>
      <c r="D22">
        <f t="shared" ca="1" si="2"/>
        <v>110055.26869567108</v>
      </c>
    </row>
    <row r="23" spans="1:4" x14ac:dyDescent="0.25">
      <c r="A23">
        <v>22</v>
      </c>
      <c r="B23">
        <f t="shared" ca="1" si="0"/>
        <v>1</v>
      </c>
      <c r="C23">
        <f t="shared" ca="1" si="1"/>
        <v>0.02</v>
      </c>
      <c r="D23">
        <f t="shared" ca="1" si="2"/>
        <v>112256.3740695845</v>
      </c>
    </row>
    <row r="24" spans="1:4" x14ac:dyDescent="0.25">
      <c r="A24">
        <v>23</v>
      </c>
      <c r="B24">
        <f t="shared" ca="1" si="0"/>
        <v>-1</v>
      </c>
      <c r="C24">
        <f t="shared" ca="1" si="1"/>
        <v>-0.02</v>
      </c>
      <c r="D24">
        <f t="shared" ca="1" si="2"/>
        <v>110011.24658819281</v>
      </c>
    </row>
    <row r="25" spans="1:4" x14ac:dyDescent="0.25">
      <c r="A25">
        <v>24</v>
      </c>
      <c r="B25">
        <f t="shared" ca="1" si="0"/>
        <v>-1</v>
      </c>
      <c r="C25">
        <f t="shared" ca="1" si="1"/>
        <v>-0.02</v>
      </c>
      <c r="D25">
        <f t="shared" ca="1" si="2"/>
        <v>107811.02165642894</v>
      </c>
    </row>
    <row r="26" spans="1:4" x14ac:dyDescent="0.25">
      <c r="A26">
        <v>25</v>
      </c>
      <c r="B26">
        <f t="shared" ca="1" si="0"/>
        <v>-1</v>
      </c>
      <c r="C26">
        <f t="shared" ca="1" si="1"/>
        <v>-0.02</v>
      </c>
      <c r="D26">
        <f t="shared" ca="1" si="2"/>
        <v>105654.80122330037</v>
      </c>
    </row>
    <row r="27" spans="1:4" x14ac:dyDescent="0.25">
      <c r="A27">
        <v>26</v>
      </c>
      <c r="B27">
        <f t="shared" ca="1" si="0"/>
        <v>1</v>
      </c>
      <c r="C27">
        <f t="shared" ca="1" si="1"/>
        <v>0.02</v>
      </c>
      <c r="D27">
        <f t="shared" ca="1" si="2"/>
        <v>107767.89724776638</v>
      </c>
    </row>
    <row r="28" spans="1:4" x14ac:dyDescent="0.25">
      <c r="A28">
        <v>27</v>
      </c>
      <c r="B28">
        <f t="shared" ca="1" si="0"/>
        <v>1</v>
      </c>
      <c r="C28">
        <f t="shared" ca="1" si="1"/>
        <v>0.02</v>
      </c>
      <c r="D28">
        <f t="shared" ca="1" si="2"/>
        <v>109923.25519272171</v>
      </c>
    </row>
    <row r="29" spans="1:4" x14ac:dyDescent="0.25">
      <c r="A29">
        <v>28</v>
      </c>
      <c r="B29">
        <f t="shared" ca="1" si="0"/>
        <v>-1</v>
      </c>
      <c r="C29">
        <f t="shared" ca="1" si="1"/>
        <v>-0.02</v>
      </c>
      <c r="D29">
        <f t="shared" ca="1" si="2"/>
        <v>107724.79008886727</v>
      </c>
    </row>
    <row r="30" spans="1:4" x14ac:dyDescent="0.25">
      <c r="A30">
        <v>29</v>
      </c>
      <c r="B30">
        <f t="shared" ca="1" si="0"/>
        <v>-1</v>
      </c>
      <c r="C30">
        <f t="shared" ca="1" si="1"/>
        <v>-0.02</v>
      </c>
      <c r="D30">
        <f t="shared" ca="1" si="2"/>
        <v>105570.29428708993</v>
      </c>
    </row>
    <row r="31" spans="1:4" x14ac:dyDescent="0.25">
      <c r="A31">
        <v>30</v>
      </c>
      <c r="B31">
        <f t="shared" ca="1" si="0"/>
        <v>-1</v>
      </c>
      <c r="C31">
        <f t="shared" ca="1" si="1"/>
        <v>-0.02</v>
      </c>
      <c r="D31">
        <f t="shared" ca="1" si="2"/>
        <v>103458.88840134813</v>
      </c>
    </row>
    <row r="32" spans="1:4" x14ac:dyDescent="0.25">
      <c r="A32">
        <v>31</v>
      </c>
      <c r="B32">
        <f t="shared" ca="1" si="0"/>
        <v>1</v>
      </c>
      <c r="C32">
        <f t="shared" ca="1" si="1"/>
        <v>0.02</v>
      </c>
      <c r="D32">
        <f t="shared" ca="1" si="2"/>
        <v>105528.06616937509</v>
      </c>
    </row>
    <row r="33" spans="1:4" x14ac:dyDescent="0.25">
      <c r="A33">
        <v>32</v>
      </c>
      <c r="B33">
        <f t="shared" ca="1" si="0"/>
        <v>1</v>
      </c>
      <c r="C33">
        <f t="shared" ca="1" si="1"/>
        <v>0.02</v>
      </c>
      <c r="D33">
        <f t="shared" ca="1" si="2"/>
        <v>107638.62749276259</v>
      </c>
    </row>
    <row r="34" spans="1:4" x14ac:dyDescent="0.25">
      <c r="A34">
        <v>33</v>
      </c>
      <c r="B34">
        <f t="shared" ref="B34:B65" ca="1" si="3">IF(RAND()&lt;0.55,1,-1)</f>
        <v>1</v>
      </c>
      <c r="C34">
        <f t="shared" ref="C34:C65" ca="1" si="4">B34*0.02</f>
        <v>0.02</v>
      </c>
      <c r="D34">
        <f t="shared" ca="1" si="2"/>
        <v>109791.40004261785</v>
      </c>
    </row>
    <row r="35" spans="1:4" x14ac:dyDescent="0.25">
      <c r="A35">
        <v>34</v>
      </c>
      <c r="B35">
        <f t="shared" ca="1" si="3"/>
        <v>-1</v>
      </c>
      <c r="C35">
        <f t="shared" ca="1" si="4"/>
        <v>-0.02</v>
      </c>
      <c r="D35">
        <f t="shared" ref="D35:D66" ca="1" si="5">D34*(1+C35)</f>
        <v>107595.5720417655</v>
      </c>
    </row>
    <row r="36" spans="1:4" x14ac:dyDescent="0.25">
      <c r="A36">
        <v>35</v>
      </c>
      <c r="B36">
        <f t="shared" ca="1" si="3"/>
        <v>1</v>
      </c>
      <c r="C36">
        <f t="shared" ca="1" si="4"/>
        <v>0.02</v>
      </c>
      <c r="D36">
        <f t="shared" ca="1" si="5"/>
        <v>109747.4834826008</v>
      </c>
    </row>
    <row r="37" spans="1:4" x14ac:dyDescent="0.25">
      <c r="A37">
        <v>36</v>
      </c>
      <c r="B37">
        <f t="shared" ca="1" si="3"/>
        <v>1</v>
      </c>
      <c r="C37">
        <f t="shared" ca="1" si="4"/>
        <v>0.02</v>
      </c>
      <c r="D37">
        <f t="shared" ca="1" si="5"/>
        <v>111942.43315225282</v>
      </c>
    </row>
    <row r="38" spans="1:4" x14ac:dyDescent="0.25">
      <c r="A38">
        <v>37</v>
      </c>
      <c r="B38">
        <f t="shared" ca="1" si="3"/>
        <v>1</v>
      </c>
      <c r="C38">
        <f t="shared" ca="1" si="4"/>
        <v>0.02</v>
      </c>
      <c r="D38">
        <f t="shared" ca="1" si="5"/>
        <v>114181.28181529789</v>
      </c>
    </row>
    <row r="39" spans="1:4" x14ac:dyDescent="0.25">
      <c r="A39">
        <v>38</v>
      </c>
      <c r="B39">
        <f t="shared" ca="1" si="3"/>
        <v>1</v>
      </c>
      <c r="C39">
        <f t="shared" ca="1" si="4"/>
        <v>0.02</v>
      </c>
      <c r="D39">
        <f t="shared" ca="1" si="5"/>
        <v>116464.90745160385</v>
      </c>
    </row>
    <row r="40" spans="1:4" x14ac:dyDescent="0.25">
      <c r="A40">
        <v>39</v>
      </c>
      <c r="B40">
        <f t="shared" ca="1" si="3"/>
        <v>1</v>
      </c>
      <c r="C40">
        <f t="shared" ca="1" si="4"/>
        <v>0.02</v>
      </c>
      <c r="D40">
        <f t="shared" ca="1" si="5"/>
        <v>118794.20560063593</v>
      </c>
    </row>
    <row r="41" spans="1:4" x14ac:dyDescent="0.25">
      <c r="A41">
        <v>40</v>
      </c>
      <c r="B41">
        <f t="shared" ca="1" si="3"/>
        <v>-1</v>
      </c>
      <c r="C41">
        <f t="shared" ca="1" si="4"/>
        <v>-0.02</v>
      </c>
      <c r="D41">
        <f t="shared" ca="1" si="5"/>
        <v>116418.32148862322</v>
      </c>
    </row>
    <row r="42" spans="1:4" x14ac:dyDescent="0.25">
      <c r="A42">
        <v>41</v>
      </c>
      <c r="B42">
        <f t="shared" ca="1" si="3"/>
        <v>-1</v>
      </c>
      <c r="C42">
        <f t="shared" ca="1" si="4"/>
        <v>-0.02</v>
      </c>
      <c r="D42">
        <f t="shared" ca="1" si="5"/>
        <v>114089.95505885076</v>
      </c>
    </row>
    <row r="43" spans="1:4" x14ac:dyDescent="0.25">
      <c r="A43">
        <v>42</v>
      </c>
      <c r="B43">
        <f t="shared" ca="1" si="3"/>
        <v>-1</v>
      </c>
      <c r="C43">
        <f t="shared" ca="1" si="4"/>
        <v>-0.02</v>
      </c>
      <c r="D43">
        <f t="shared" ca="1" si="5"/>
        <v>111808.15595767373</v>
      </c>
    </row>
    <row r="44" spans="1:4" x14ac:dyDescent="0.25">
      <c r="A44">
        <v>43</v>
      </c>
      <c r="B44">
        <f t="shared" ca="1" si="3"/>
        <v>1</v>
      </c>
      <c r="C44">
        <f t="shared" ca="1" si="4"/>
        <v>0.02</v>
      </c>
      <c r="D44">
        <f t="shared" ca="1" si="5"/>
        <v>114044.31907682722</v>
      </c>
    </row>
    <row r="45" spans="1:4" x14ac:dyDescent="0.25">
      <c r="A45">
        <v>44</v>
      </c>
      <c r="B45">
        <f t="shared" ca="1" si="3"/>
        <v>1</v>
      </c>
      <c r="C45">
        <f t="shared" ca="1" si="4"/>
        <v>0.02</v>
      </c>
      <c r="D45">
        <f t="shared" ca="1" si="5"/>
        <v>116325.20545836377</v>
      </c>
    </row>
    <row r="46" spans="1:4" x14ac:dyDescent="0.25">
      <c r="A46">
        <v>45</v>
      </c>
      <c r="B46">
        <f t="shared" ca="1" si="3"/>
        <v>-1</v>
      </c>
      <c r="C46">
        <f t="shared" ca="1" si="4"/>
        <v>-0.02</v>
      </c>
      <c r="D46">
        <f t="shared" ca="1" si="5"/>
        <v>113998.70134919649</v>
      </c>
    </row>
    <row r="47" spans="1:4" x14ac:dyDescent="0.25">
      <c r="A47">
        <v>46</v>
      </c>
      <c r="B47">
        <f t="shared" ca="1" si="3"/>
        <v>1</v>
      </c>
      <c r="C47">
        <f t="shared" ca="1" si="4"/>
        <v>0.02</v>
      </c>
      <c r="D47">
        <f t="shared" ca="1" si="5"/>
        <v>116278.67537618043</v>
      </c>
    </row>
    <row r="48" spans="1:4" x14ac:dyDescent="0.25">
      <c r="A48">
        <v>47</v>
      </c>
      <c r="B48">
        <f t="shared" ca="1" si="3"/>
        <v>1</v>
      </c>
      <c r="C48">
        <f t="shared" ca="1" si="4"/>
        <v>0.02</v>
      </c>
      <c r="D48">
        <f t="shared" ca="1" si="5"/>
        <v>118604.24888370404</v>
      </c>
    </row>
    <row r="49" spans="1:4" x14ac:dyDescent="0.25">
      <c r="A49">
        <v>48</v>
      </c>
      <c r="B49">
        <f t="shared" ca="1" si="3"/>
        <v>-1</v>
      </c>
      <c r="C49">
        <f t="shared" ca="1" si="4"/>
        <v>-0.02</v>
      </c>
      <c r="D49">
        <f t="shared" ca="1" si="5"/>
        <v>116232.16390602996</v>
      </c>
    </row>
    <row r="50" spans="1:4" x14ac:dyDescent="0.25">
      <c r="A50">
        <v>49</v>
      </c>
      <c r="B50">
        <f t="shared" ca="1" si="3"/>
        <v>1</v>
      </c>
      <c r="C50">
        <f t="shared" ca="1" si="4"/>
        <v>0.02</v>
      </c>
      <c r="D50">
        <f t="shared" ca="1" si="5"/>
        <v>118556.80718415056</v>
      </c>
    </row>
    <row r="51" spans="1:4" x14ac:dyDescent="0.25">
      <c r="A51">
        <v>50</v>
      </c>
      <c r="B51">
        <f t="shared" ca="1" si="3"/>
        <v>1</v>
      </c>
      <c r="C51">
        <f t="shared" ca="1" si="4"/>
        <v>0.02</v>
      </c>
      <c r="D51">
        <f t="shared" ca="1" si="5"/>
        <v>120927.94332783358</v>
      </c>
    </row>
    <row r="52" spans="1:4" x14ac:dyDescent="0.25">
      <c r="A52">
        <v>51</v>
      </c>
      <c r="B52">
        <f t="shared" ca="1" si="3"/>
        <v>1</v>
      </c>
      <c r="C52">
        <f t="shared" ca="1" si="4"/>
        <v>0.02</v>
      </c>
      <c r="D52">
        <f t="shared" ca="1" si="5"/>
        <v>123346.50219439025</v>
      </c>
    </row>
    <row r="53" spans="1:4" x14ac:dyDescent="0.25">
      <c r="A53">
        <v>52</v>
      </c>
      <c r="B53">
        <f t="shared" ca="1" si="3"/>
        <v>-1</v>
      </c>
      <c r="C53">
        <f t="shared" ca="1" si="4"/>
        <v>-0.02</v>
      </c>
      <c r="D53">
        <f t="shared" ca="1" si="5"/>
        <v>120879.57215050244</v>
      </c>
    </row>
    <row r="54" spans="1:4" x14ac:dyDescent="0.25">
      <c r="A54">
        <v>53</v>
      </c>
      <c r="B54">
        <f t="shared" ca="1" si="3"/>
        <v>1</v>
      </c>
      <c r="C54">
        <f t="shared" ca="1" si="4"/>
        <v>0.02</v>
      </c>
      <c r="D54">
        <f t="shared" ca="1" si="5"/>
        <v>123297.16359351249</v>
      </c>
    </row>
    <row r="55" spans="1:4" x14ac:dyDescent="0.25">
      <c r="A55">
        <v>54</v>
      </c>
      <c r="B55">
        <f t="shared" ca="1" si="3"/>
        <v>1</v>
      </c>
      <c r="C55">
        <f t="shared" ca="1" si="4"/>
        <v>0.02</v>
      </c>
      <c r="D55">
        <f t="shared" ca="1" si="5"/>
        <v>125763.10686538275</v>
      </c>
    </row>
    <row r="56" spans="1:4" x14ac:dyDescent="0.25">
      <c r="A56">
        <v>55</v>
      </c>
      <c r="B56">
        <f t="shared" ca="1" si="3"/>
        <v>-1</v>
      </c>
      <c r="C56">
        <f t="shared" ca="1" si="4"/>
        <v>-0.02</v>
      </c>
      <c r="D56">
        <f t="shared" ca="1" si="5"/>
        <v>123247.8447280751</v>
      </c>
    </row>
    <row r="57" spans="1:4" x14ac:dyDescent="0.25">
      <c r="A57">
        <v>56</v>
      </c>
      <c r="B57">
        <f t="shared" ca="1" si="3"/>
        <v>-1</v>
      </c>
      <c r="C57">
        <f t="shared" ca="1" si="4"/>
        <v>-0.02</v>
      </c>
      <c r="D57">
        <f t="shared" ca="1" si="5"/>
        <v>120782.8878335136</v>
      </c>
    </row>
    <row r="58" spans="1:4" x14ac:dyDescent="0.25">
      <c r="A58">
        <v>57</v>
      </c>
      <c r="B58">
        <f t="shared" ca="1" si="3"/>
        <v>1</v>
      </c>
      <c r="C58">
        <f t="shared" ca="1" si="4"/>
        <v>0.02</v>
      </c>
      <c r="D58">
        <f t="shared" ca="1" si="5"/>
        <v>123198.54559018387</v>
      </c>
    </row>
    <row r="59" spans="1:4" x14ac:dyDescent="0.25">
      <c r="A59">
        <v>58</v>
      </c>
      <c r="B59">
        <f t="shared" ca="1" si="3"/>
        <v>1</v>
      </c>
      <c r="C59">
        <f t="shared" ca="1" si="4"/>
        <v>0.02</v>
      </c>
      <c r="D59">
        <f t="shared" ca="1" si="5"/>
        <v>125662.51650198756</v>
      </c>
    </row>
    <row r="60" spans="1:4" x14ac:dyDescent="0.25">
      <c r="A60">
        <v>59</v>
      </c>
      <c r="B60">
        <f t="shared" ca="1" si="3"/>
        <v>-1</v>
      </c>
      <c r="C60">
        <f t="shared" ca="1" si="4"/>
        <v>-0.02</v>
      </c>
      <c r="D60">
        <f t="shared" ca="1" si="5"/>
        <v>123149.26617194781</v>
      </c>
    </row>
    <row r="61" spans="1:4" x14ac:dyDescent="0.25">
      <c r="A61">
        <v>60</v>
      </c>
      <c r="B61">
        <f t="shared" ca="1" si="3"/>
        <v>1</v>
      </c>
      <c r="C61">
        <f t="shared" ca="1" si="4"/>
        <v>0.02</v>
      </c>
      <c r="D61">
        <f t="shared" ca="1" si="5"/>
        <v>125612.25149538676</v>
      </c>
    </row>
    <row r="62" spans="1:4" x14ac:dyDescent="0.25">
      <c r="A62">
        <v>61</v>
      </c>
      <c r="B62">
        <f t="shared" ca="1" si="3"/>
        <v>1</v>
      </c>
      <c r="C62">
        <f t="shared" ca="1" si="4"/>
        <v>0.02</v>
      </c>
      <c r="D62">
        <f t="shared" ca="1" si="5"/>
        <v>128124.4965252945</v>
      </c>
    </row>
    <row r="63" spans="1:4" x14ac:dyDescent="0.25">
      <c r="A63">
        <v>62</v>
      </c>
      <c r="B63">
        <f t="shared" ca="1" si="3"/>
        <v>1</v>
      </c>
      <c r="C63">
        <f t="shared" ca="1" si="4"/>
        <v>0.02</v>
      </c>
      <c r="D63">
        <f t="shared" ca="1" si="5"/>
        <v>130686.98645580039</v>
      </c>
    </row>
    <row r="64" spans="1:4" x14ac:dyDescent="0.25">
      <c r="A64">
        <v>63</v>
      </c>
      <c r="B64">
        <f t="shared" ca="1" si="3"/>
        <v>1</v>
      </c>
      <c r="C64">
        <f t="shared" ca="1" si="4"/>
        <v>0.02</v>
      </c>
      <c r="D64">
        <f t="shared" ca="1" si="5"/>
        <v>133300.72618491639</v>
      </c>
    </row>
    <row r="65" spans="1:4" x14ac:dyDescent="0.25">
      <c r="A65">
        <v>64</v>
      </c>
      <c r="B65">
        <f t="shared" ca="1" si="3"/>
        <v>1</v>
      </c>
      <c r="C65">
        <f t="shared" ca="1" si="4"/>
        <v>0.02</v>
      </c>
      <c r="D65">
        <f t="shared" ca="1" si="5"/>
        <v>135966.74070861473</v>
      </c>
    </row>
    <row r="66" spans="1:4" x14ac:dyDescent="0.25">
      <c r="A66">
        <v>65</v>
      </c>
      <c r="B66">
        <f t="shared" ref="B66:B97" ca="1" si="6">IF(RAND()&lt;0.55,1,-1)</f>
        <v>1</v>
      </c>
      <c r="C66">
        <f t="shared" ref="C66:C97" ca="1" si="7">B66*0.02</f>
        <v>0.02</v>
      </c>
      <c r="D66">
        <f t="shared" ca="1" si="5"/>
        <v>138686.07552278702</v>
      </c>
    </row>
    <row r="67" spans="1:4" x14ac:dyDescent="0.25">
      <c r="A67">
        <v>66</v>
      </c>
      <c r="B67">
        <f t="shared" ca="1" si="6"/>
        <v>1</v>
      </c>
      <c r="C67">
        <f t="shared" ca="1" si="7"/>
        <v>0.02</v>
      </c>
      <c r="D67">
        <f t="shared" ref="D67:D98" ca="1" si="8">D66*(1+C67)</f>
        <v>141459.79703324276</v>
      </c>
    </row>
    <row r="68" spans="1:4" x14ac:dyDescent="0.25">
      <c r="A68">
        <v>67</v>
      </c>
      <c r="B68">
        <f t="shared" ca="1" si="6"/>
        <v>1</v>
      </c>
      <c r="C68">
        <f t="shared" ca="1" si="7"/>
        <v>0.02</v>
      </c>
      <c r="D68">
        <f t="shared" ca="1" si="8"/>
        <v>144288.99297390762</v>
      </c>
    </row>
    <row r="69" spans="1:4" x14ac:dyDescent="0.25">
      <c r="A69">
        <v>68</v>
      </c>
      <c r="B69">
        <f t="shared" ca="1" si="6"/>
        <v>1</v>
      </c>
      <c r="C69">
        <f t="shared" ca="1" si="7"/>
        <v>0.02</v>
      </c>
      <c r="D69">
        <f t="shared" ca="1" si="8"/>
        <v>147174.77283338577</v>
      </c>
    </row>
    <row r="70" spans="1:4" x14ac:dyDescent="0.25">
      <c r="A70">
        <v>69</v>
      </c>
      <c r="B70">
        <f t="shared" ca="1" si="6"/>
        <v>-1</v>
      </c>
      <c r="C70">
        <f t="shared" ca="1" si="7"/>
        <v>-0.02</v>
      </c>
      <c r="D70">
        <f t="shared" ca="1" si="8"/>
        <v>144231.27737671806</v>
      </c>
    </row>
    <row r="71" spans="1:4" x14ac:dyDescent="0.25">
      <c r="A71">
        <v>70</v>
      </c>
      <c r="B71">
        <f t="shared" ca="1" si="6"/>
        <v>1</v>
      </c>
      <c r="C71">
        <f t="shared" ca="1" si="7"/>
        <v>0.02</v>
      </c>
      <c r="D71">
        <f t="shared" ca="1" si="8"/>
        <v>147115.90292425241</v>
      </c>
    </row>
    <row r="72" spans="1:4" x14ac:dyDescent="0.25">
      <c r="A72">
        <v>71</v>
      </c>
      <c r="B72">
        <f t="shared" ca="1" si="6"/>
        <v>-1</v>
      </c>
      <c r="C72">
        <f t="shared" ca="1" si="7"/>
        <v>-0.02</v>
      </c>
      <c r="D72">
        <f t="shared" ca="1" si="8"/>
        <v>144173.58486576736</v>
      </c>
    </row>
    <row r="73" spans="1:4" x14ac:dyDescent="0.25">
      <c r="A73">
        <v>72</v>
      </c>
      <c r="B73">
        <f t="shared" ca="1" si="6"/>
        <v>-1</v>
      </c>
      <c r="C73">
        <f t="shared" ca="1" si="7"/>
        <v>-0.02</v>
      </c>
      <c r="D73">
        <f t="shared" ca="1" si="8"/>
        <v>141290.11316845202</v>
      </c>
    </row>
    <row r="74" spans="1:4" x14ac:dyDescent="0.25">
      <c r="A74">
        <v>73</v>
      </c>
      <c r="B74">
        <f t="shared" ca="1" si="6"/>
        <v>-1</v>
      </c>
      <c r="C74">
        <f t="shared" ca="1" si="7"/>
        <v>-0.02</v>
      </c>
      <c r="D74">
        <f t="shared" ca="1" si="8"/>
        <v>138464.31090508297</v>
      </c>
    </row>
    <row r="75" spans="1:4" x14ac:dyDescent="0.25">
      <c r="A75">
        <v>74</v>
      </c>
      <c r="B75">
        <f t="shared" ca="1" si="6"/>
        <v>-1</v>
      </c>
      <c r="C75">
        <f t="shared" ca="1" si="7"/>
        <v>-0.02</v>
      </c>
      <c r="D75">
        <f t="shared" ca="1" si="8"/>
        <v>135695.02468698131</v>
      </c>
    </row>
    <row r="76" spans="1:4" x14ac:dyDescent="0.25">
      <c r="A76">
        <v>75</v>
      </c>
      <c r="B76">
        <f t="shared" ca="1" si="6"/>
        <v>-1</v>
      </c>
      <c r="C76">
        <f t="shared" ca="1" si="7"/>
        <v>-0.02</v>
      </c>
      <c r="D76">
        <f t="shared" ca="1" si="8"/>
        <v>132981.12419324167</v>
      </c>
    </row>
    <row r="77" spans="1:4" x14ac:dyDescent="0.25">
      <c r="A77">
        <v>76</v>
      </c>
      <c r="B77">
        <f t="shared" ca="1" si="6"/>
        <v>-1</v>
      </c>
      <c r="C77">
        <f t="shared" ca="1" si="7"/>
        <v>-0.02</v>
      </c>
      <c r="D77">
        <f t="shared" ca="1" si="8"/>
        <v>130321.50170937684</v>
      </c>
    </row>
    <row r="78" spans="1:4" x14ac:dyDescent="0.25">
      <c r="A78">
        <v>77</v>
      </c>
      <c r="B78">
        <f t="shared" ca="1" si="6"/>
        <v>-1</v>
      </c>
      <c r="C78">
        <f t="shared" ca="1" si="7"/>
        <v>-0.02</v>
      </c>
      <c r="D78">
        <f t="shared" ca="1" si="8"/>
        <v>127715.07167518931</v>
      </c>
    </row>
    <row r="79" spans="1:4" x14ac:dyDescent="0.25">
      <c r="A79">
        <v>78</v>
      </c>
      <c r="B79">
        <f t="shared" ca="1" si="6"/>
        <v>-1</v>
      </c>
      <c r="C79">
        <f t="shared" ca="1" si="7"/>
        <v>-0.02</v>
      </c>
      <c r="D79">
        <f t="shared" ca="1" si="8"/>
        <v>125160.77024168552</v>
      </c>
    </row>
    <row r="80" spans="1:4" x14ac:dyDescent="0.25">
      <c r="A80">
        <v>79</v>
      </c>
      <c r="B80">
        <f t="shared" ca="1" si="6"/>
        <v>-1</v>
      </c>
      <c r="C80">
        <f t="shared" ca="1" si="7"/>
        <v>-0.02</v>
      </c>
      <c r="D80">
        <f t="shared" ca="1" si="8"/>
        <v>122657.55483685181</v>
      </c>
    </row>
    <row r="81" spans="1:4" x14ac:dyDescent="0.25">
      <c r="A81">
        <v>80</v>
      </c>
      <c r="B81">
        <f t="shared" ca="1" si="6"/>
        <v>1</v>
      </c>
      <c r="C81">
        <f t="shared" ca="1" si="7"/>
        <v>0.02</v>
      </c>
      <c r="D81">
        <f t="shared" ca="1" si="8"/>
        <v>125110.70593358885</v>
      </c>
    </row>
    <row r="82" spans="1:4" x14ac:dyDescent="0.25">
      <c r="A82">
        <v>81</v>
      </c>
      <c r="B82">
        <f t="shared" ca="1" si="6"/>
        <v>1</v>
      </c>
      <c r="C82">
        <f t="shared" ca="1" si="7"/>
        <v>0.02</v>
      </c>
      <c r="D82">
        <f t="shared" ca="1" si="8"/>
        <v>127612.92005226063</v>
      </c>
    </row>
    <row r="83" spans="1:4" x14ac:dyDescent="0.25">
      <c r="A83">
        <v>82</v>
      </c>
      <c r="B83">
        <f t="shared" ca="1" si="6"/>
        <v>1</v>
      </c>
      <c r="C83">
        <f t="shared" ca="1" si="7"/>
        <v>0.02</v>
      </c>
      <c r="D83">
        <f t="shared" ca="1" si="8"/>
        <v>130165.17845330584</v>
      </c>
    </row>
    <row r="84" spans="1:4" x14ac:dyDescent="0.25">
      <c r="A84">
        <v>83</v>
      </c>
      <c r="B84">
        <f t="shared" ca="1" si="6"/>
        <v>1</v>
      </c>
      <c r="C84">
        <f t="shared" ca="1" si="7"/>
        <v>0.02</v>
      </c>
      <c r="D84">
        <f t="shared" ca="1" si="8"/>
        <v>132768.48202237196</v>
      </c>
    </row>
    <row r="85" spans="1:4" x14ac:dyDescent="0.25">
      <c r="A85">
        <v>84</v>
      </c>
      <c r="B85">
        <f t="shared" ca="1" si="6"/>
        <v>1</v>
      </c>
      <c r="C85">
        <f t="shared" ca="1" si="7"/>
        <v>0.02</v>
      </c>
      <c r="D85">
        <f t="shared" ca="1" si="8"/>
        <v>135423.85166281939</v>
      </c>
    </row>
    <row r="86" spans="1:4" x14ac:dyDescent="0.25">
      <c r="A86">
        <v>85</v>
      </c>
      <c r="B86">
        <f t="shared" ca="1" si="6"/>
        <v>1</v>
      </c>
      <c r="C86">
        <f t="shared" ca="1" si="7"/>
        <v>0.02</v>
      </c>
      <c r="D86">
        <f t="shared" ca="1" si="8"/>
        <v>138132.32869607577</v>
      </c>
    </row>
    <row r="87" spans="1:4" x14ac:dyDescent="0.25">
      <c r="A87">
        <v>86</v>
      </c>
      <c r="B87">
        <f t="shared" ca="1" si="6"/>
        <v>1</v>
      </c>
      <c r="C87">
        <f t="shared" ca="1" si="7"/>
        <v>0.02</v>
      </c>
      <c r="D87">
        <f t="shared" ca="1" si="8"/>
        <v>140894.97526999729</v>
      </c>
    </row>
    <row r="88" spans="1:4" x14ac:dyDescent="0.25">
      <c r="A88">
        <v>87</v>
      </c>
      <c r="B88">
        <f t="shared" ca="1" si="6"/>
        <v>1</v>
      </c>
      <c r="C88">
        <f t="shared" ca="1" si="7"/>
        <v>0.02</v>
      </c>
      <c r="D88">
        <f t="shared" ca="1" si="8"/>
        <v>143712.87477539724</v>
      </c>
    </row>
    <row r="89" spans="1:4" x14ac:dyDescent="0.25">
      <c r="A89">
        <v>88</v>
      </c>
      <c r="B89">
        <f t="shared" ca="1" si="6"/>
        <v>1</v>
      </c>
      <c r="C89">
        <f t="shared" ca="1" si="7"/>
        <v>0.02</v>
      </c>
      <c r="D89">
        <f t="shared" ca="1" si="8"/>
        <v>146587.13227090519</v>
      </c>
    </row>
    <row r="90" spans="1:4" x14ac:dyDescent="0.25">
      <c r="A90">
        <v>89</v>
      </c>
      <c r="B90">
        <f t="shared" ca="1" si="6"/>
        <v>-1</v>
      </c>
      <c r="C90">
        <f t="shared" ca="1" si="7"/>
        <v>-0.02</v>
      </c>
      <c r="D90">
        <f t="shared" ca="1" si="8"/>
        <v>143655.38962548709</v>
      </c>
    </row>
    <row r="91" spans="1:4" x14ac:dyDescent="0.25">
      <c r="A91">
        <v>90</v>
      </c>
      <c r="B91">
        <f t="shared" ca="1" si="6"/>
        <v>1</v>
      </c>
      <c r="C91">
        <f t="shared" ca="1" si="7"/>
        <v>0.02</v>
      </c>
      <c r="D91">
        <f t="shared" ca="1" si="8"/>
        <v>146528.49741799684</v>
      </c>
    </row>
    <row r="92" spans="1:4" x14ac:dyDescent="0.25">
      <c r="A92">
        <v>91</v>
      </c>
      <c r="B92">
        <f t="shared" ca="1" si="6"/>
        <v>1</v>
      </c>
      <c r="C92">
        <f t="shared" ca="1" si="7"/>
        <v>0.02</v>
      </c>
      <c r="D92">
        <f t="shared" ca="1" si="8"/>
        <v>149459.06736635679</v>
      </c>
    </row>
    <row r="93" spans="1:4" x14ac:dyDescent="0.25">
      <c r="A93">
        <v>92</v>
      </c>
      <c r="B93">
        <f t="shared" ca="1" si="6"/>
        <v>-1</v>
      </c>
      <c r="C93">
        <f t="shared" ca="1" si="7"/>
        <v>-0.02</v>
      </c>
      <c r="D93">
        <f t="shared" ca="1" si="8"/>
        <v>146469.88601902965</v>
      </c>
    </row>
    <row r="94" spans="1:4" x14ac:dyDescent="0.25">
      <c r="A94">
        <v>93</v>
      </c>
      <c r="B94">
        <f t="shared" ca="1" si="6"/>
        <v>-1</v>
      </c>
      <c r="C94">
        <f t="shared" ca="1" si="7"/>
        <v>-0.02</v>
      </c>
      <c r="D94">
        <f t="shared" ca="1" si="8"/>
        <v>143540.48829864906</v>
      </c>
    </row>
    <row r="95" spans="1:4" x14ac:dyDescent="0.25">
      <c r="A95">
        <v>94</v>
      </c>
      <c r="B95">
        <f t="shared" ca="1" si="6"/>
        <v>-1</v>
      </c>
      <c r="C95">
        <f t="shared" ca="1" si="7"/>
        <v>-0.02</v>
      </c>
      <c r="D95">
        <f t="shared" ca="1" si="8"/>
        <v>140669.67853267607</v>
      </c>
    </row>
    <row r="96" spans="1:4" x14ac:dyDescent="0.25">
      <c r="A96">
        <v>95</v>
      </c>
      <c r="B96">
        <f t="shared" ca="1" si="6"/>
        <v>-1</v>
      </c>
      <c r="C96">
        <f t="shared" ca="1" si="7"/>
        <v>-0.02</v>
      </c>
      <c r="D96">
        <f t="shared" ca="1" si="8"/>
        <v>137856.28496202256</v>
      </c>
    </row>
    <row r="97" spans="1:4" x14ac:dyDescent="0.25">
      <c r="A97">
        <v>96</v>
      </c>
      <c r="B97">
        <f t="shared" ca="1" si="6"/>
        <v>-1</v>
      </c>
      <c r="C97">
        <f t="shared" ca="1" si="7"/>
        <v>-0.02</v>
      </c>
      <c r="D97">
        <f t="shared" ca="1" si="8"/>
        <v>135099.15926278211</v>
      </c>
    </row>
    <row r="98" spans="1:4" x14ac:dyDescent="0.25">
      <c r="A98">
        <v>97</v>
      </c>
      <c r="B98">
        <f t="shared" ref="B98:B129" ca="1" si="9">IF(RAND()&lt;0.55,1,-1)</f>
        <v>-1</v>
      </c>
      <c r="C98">
        <f t="shared" ref="C98:C129" ca="1" si="10">B98*0.02</f>
        <v>-0.02</v>
      </c>
      <c r="D98">
        <f t="shared" ca="1" si="8"/>
        <v>132397.17607752647</v>
      </c>
    </row>
    <row r="99" spans="1:4" x14ac:dyDescent="0.25">
      <c r="A99">
        <v>98</v>
      </c>
      <c r="B99">
        <f t="shared" ca="1" si="9"/>
        <v>-1</v>
      </c>
      <c r="C99">
        <f t="shared" ca="1" si="10"/>
        <v>-0.02</v>
      </c>
      <c r="D99">
        <f t="shared" ref="D99:D130" ca="1" si="11">D98*(1+C99)</f>
        <v>129749.23255597593</v>
      </c>
    </row>
    <row r="100" spans="1:4" x14ac:dyDescent="0.25">
      <c r="A100">
        <v>99</v>
      </c>
      <c r="B100">
        <f t="shared" ca="1" si="9"/>
        <v>-1</v>
      </c>
      <c r="C100">
        <f t="shared" ca="1" si="10"/>
        <v>-0.02</v>
      </c>
      <c r="D100">
        <f t="shared" ca="1" si="11"/>
        <v>127154.24790485641</v>
      </c>
    </row>
    <row r="101" spans="1:4" x14ac:dyDescent="0.25">
      <c r="A101">
        <v>100</v>
      </c>
      <c r="B101">
        <f t="shared" ca="1" si="9"/>
        <v>1</v>
      </c>
      <c r="C101">
        <f t="shared" ca="1" si="10"/>
        <v>0.02</v>
      </c>
      <c r="D101">
        <f t="shared" ca="1" si="11"/>
        <v>129697.33286295354</v>
      </c>
    </row>
    <row r="102" spans="1:4" x14ac:dyDescent="0.25">
      <c r="A102">
        <v>101</v>
      </c>
      <c r="B102">
        <f t="shared" ca="1" si="9"/>
        <v>1</v>
      </c>
      <c r="C102">
        <f t="shared" ca="1" si="10"/>
        <v>0.02</v>
      </c>
      <c r="D102">
        <f t="shared" ca="1" si="11"/>
        <v>132291.27952021261</v>
      </c>
    </row>
    <row r="103" spans="1:4" x14ac:dyDescent="0.25">
      <c r="A103">
        <v>102</v>
      </c>
      <c r="B103">
        <f t="shared" ca="1" si="9"/>
        <v>1</v>
      </c>
      <c r="C103">
        <f t="shared" ca="1" si="10"/>
        <v>0.02</v>
      </c>
      <c r="D103">
        <f t="shared" ca="1" si="11"/>
        <v>134937.10511061686</v>
      </c>
    </row>
    <row r="104" spans="1:4" x14ac:dyDescent="0.25">
      <c r="A104">
        <v>103</v>
      </c>
      <c r="B104">
        <f t="shared" ca="1" si="9"/>
        <v>1</v>
      </c>
      <c r="C104">
        <f t="shared" ca="1" si="10"/>
        <v>0.02</v>
      </c>
      <c r="D104">
        <f t="shared" ca="1" si="11"/>
        <v>137635.84721282919</v>
      </c>
    </row>
    <row r="105" spans="1:4" x14ac:dyDescent="0.25">
      <c r="A105">
        <v>104</v>
      </c>
      <c r="B105">
        <f t="shared" ca="1" si="9"/>
        <v>-1</v>
      </c>
      <c r="C105">
        <f t="shared" ca="1" si="10"/>
        <v>-0.02</v>
      </c>
      <c r="D105">
        <f t="shared" ca="1" si="11"/>
        <v>134883.1302685726</v>
      </c>
    </row>
    <row r="106" spans="1:4" x14ac:dyDescent="0.25">
      <c r="A106">
        <v>105</v>
      </c>
      <c r="B106">
        <f t="shared" ca="1" si="9"/>
        <v>1</v>
      </c>
      <c r="C106">
        <f t="shared" ca="1" si="10"/>
        <v>0.02</v>
      </c>
      <c r="D106">
        <f t="shared" ca="1" si="11"/>
        <v>137580.79287394404</v>
      </c>
    </row>
    <row r="107" spans="1:4" x14ac:dyDescent="0.25">
      <c r="A107">
        <v>106</v>
      </c>
      <c r="B107">
        <f t="shared" ca="1" si="9"/>
        <v>-1</v>
      </c>
      <c r="C107">
        <f t="shared" ca="1" si="10"/>
        <v>-0.02</v>
      </c>
      <c r="D107">
        <f t="shared" ca="1" si="11"/>
        <v>134829.17701646517</v>
      </c>
    </row>
    <row r="108" spans="1:4" x14ac:dyDescent="0.25">
      <c r="A108">
        <v>107</v>
      </c>
      <c r="B108">
        <f t="shared" ca="1" si="9"/>
        <v>1</v>
      </c>
      <c r="C108">
        <f t="shared" ca="1" si="10"/>
        <v>0.02</v>
      </c>
      <c r="D108">
        <f t="shared" ca="1" si="11"/>
        <v>137525.76055679447</v>
      </c>
    </row>
    <row r="109" spans="1:4" x14ac:dyDescent="0.25">
      <c r="A109">
        <v>108</v>
      </c>
      <c r="B109">
        <f t="shared" ca="1" si="9"/>
        <v>1</v>
      </c>
      <c r="C109">
        <f t="shared" ca="1" si="10"/>
        <v>0.02</v>
      </c>
      <c r="D109">
        <f t="shared" ca="1" si="11"/>
        <v>140276.27576793038</v>
      </c>
    </row>
    <row r="110" spans="1:4" x14ac:dyDescent="0.25">
      <c r="A110">
        <v>109</v>
      </c>
      <c r="B110">
        <f t="shared" ca="1" si="9"/>
        <v>-1</v>
      </c>
      <c r="C110">
        <f t="shared" ca="1" si="10"/>
        <v>-0.02</v>
      </c>
      <c r="D110">
        <f t="shared" ca="1" si="11"/>
        <v>137470.75025257177</v>
      </c>
    </row>
    <row r="111" spans="1:4" x14ac:dyDescent="0.25">
      <c r="A111">
        <v>110</v>
      </c>
      <c r="B111">
        <f t="shared" ca="1" si="9"/>
        <v>1</v>
      </c>
      <c r="C111">
        <f t="shared" ca="1" si="10"/>
        <v>0.02</v>
      </c>
      <c r="D111">
        <f t="shared" ca="1" si="11"/>
        <v>140220.16525762322</v>
      </c>
    </row>
    <row r="112" spans="1:4" x14ac:dyDescent="0.25">
      <c r="A112">
        <v>111</v>
      </c>
      <c r="B112">
        <f t="shared" ca="1" si="9"/>
        <v>-1</v>
      </c>
      <c r="C112">
        <f t="shared" ca="1" si="10"/>
        <v>-0.02</v>
      </c>
      <c r="D112">
        <f t="shared" ca="1" si="11"/>
        <v>137415.76195247076</v>
      </c>
    </row>
    <row r="113" spans="1:4" x14ac:dyDescent="0.25">
      <c r="A113">
        <v>112</v>
      </c>
      <c r="B113">
        <f t="shared" ca="1" si="9"/>
        <v>-1</v>
      </c>
      <c r="C113">
        <f t="shared" ca="1" si="10"/>
        <v>-0.02</v>
      </c>
      <c r="D113">
        <f t="shared" ca="1" si="11"/>
        <v>134667.44671342135</v>
      </c>
    </row>
    <row r="114" spans="1:4" x14ac:dyDescent="0.25">
      <c r="A114">
        <v>113</v>
      </c>
      <c r="B114">
        <f t="shared" ca="1" si="9"/>
        <v>1</v>
      </c>
      <c r="C114">
        <f t="shared" ca="1" si="10"/>
        <v>0.02</v>
      </c>
      <c r="D114">
        <f t="shared" ca="1" si="11"/>
        <v>137360.79564768978</v>
      </c>
    </row>
    <row r="115" spans="1:4" x14ac:dyDescent="0.25">
      <c r="A115">
        <v>114</v>
      </c>
      <c r="B115">
        <f t="shared" ca="1" si="9"/>
        <v>1</v>
      </c>
      <c r="C115">
        <f t="shared" ca="1" si="10"/>
        <v>0.02</v>
      </c>
      <c r="D115">
        <f t="shared" ca="1" si="11"/>
        <v>140108.01156064359</v>
      </c>
    </row>
    <row r="116" spans="1:4" x14ac:dyDescent="0.25">
      <c r="A116">
        <v>115</v>
      </c>
      <c r="B116">
        <f t="shared" ca="1" si="9"/>
        <v>1</v>
      </c>
      <c r="C116">
        <f t="shared" ca="1" si="10"/>
        <v>0.02</v>
      </c>
      <c r="D116">
        <f t="shared" ca="1" si="11"/>
        <v>142910.17179185647</v>
      </c>
    </row>
    <row r="117" spans="1:4" x14ac:dyDescent="0.25">
      <c r="A117">
        <v>116</v>
      </c>
      <c r="B117">
        <f t="shared" ca="1" si="9"/>
        <v>1</v>
      </c>
      <c r="C117">
        <f t="shared" ca="1" si="10"/>
        <v>0.02</v>
      </c>
      <c r="D117">
        <f t="shared" ca="1" si="11"/>
        <v>145768.37522769361</v>
      </c>
    </row>
    <row r="118" spans="1:4" x14ac:dyDescent="0.25">
      <c r="A118">
        <v>117</v>
      </c>
      <c r="B118">
        <f t="shared" ca="1" si="9"/>
        <v>1</v>
      </c>
      <c r="C118">
        <f t="shared" ca="1" si="10"/>
        <v>0.02</v>
      </c>
      <c r="D118">
        <f t="shared" ca="1" si="11"/>
        <v>148683.74273224748</v>
      </c>
    </row>
    <row r="119" spans="1:4" x14ac:dyDescent="0.25">
      <c r="A119">
        <v>118</v>
      </c>
      <c r="B119">
        <f t="shared" ca="1" si="9"/>
        <v>1</v>
      </c>
      <c r="C119">
        <f t="shared" ca="1" si="10"/>
        <v>0.02</v>
      </c>
      <c r="D119">
        <f t="shared" ca="1" si="11"/>
        <v>151657.41758689244</v>
      </c>
    </row>
    <row r="120" spans="1:4" x14ac:dyDescent="0.25">
      <c r="A120">
        <v>119</v>
      </c>
      <c r="B120">
        <f t="shared" ca="1" si="9"/>
        <v>1</v>
      </c>
      <c r="C120">
        <f t="shared" ca="1" si="10"/>
        <v>0.02</v>
      </c>
      <c r="D120">
        <f t="shared" ca="1" si="11"/>
        <v>154690.56593863029</v>
      </c>
    </row>
    <row r="121" spans="1:4" x14ac:dyDescent="0.25">
      <c r="A121">
        <v>120</v>
      </c>
      <c r="B121">
        <f t="shared" ca="1" si="9"/>
        <v>1</v>
      </c>
      <c r="C121">
        <f t="shared" ca="1" si="10"/>
        <v>0.02</v>
      </c>
      <c r="D121">
        <f t="shared" ca="1" si="11"/>
        <v>157784.3772574029</v>
      </c>
    </row>
    <row r="122" spans="1:4" x14ac:dyDescent="0.25">
      <c r="A122">
        <v>121</v>
      </c>
      <c r="B122">
        <f t="shared" ca="1" si="9"/>
        <v>1</v>
      </c>
      <c r="C122">
        <f t="shared" ca="1" si="10"/>
        <v>0.02</v>
      </c>
      <c r="D122">
        <f t="shared" ca="1" si="11"/>
        <v>160940.06480255097</v>
      </c>
    </row>
    <row r="123" spans="1:4" x14ac:dyDescent="0.25">
      <c r="A123">
        <v>122</v>
      </c>
      <c r="B123">
        <f t="shared" ca="1" si="9"/>
        <v>1</v>
      </c>
      <c r="C123">
        <f t="shared" ca="1" si="10"/>
        <v>0.02</v>
      </c>
      <c r="D123">
        <f t="shared" ca="1" si="11"/>
        <v>164158.86609860198</v>
      </c>
    </row>
    <row r="124" spans="1:4" x14ac:dyDescent="0.25">
      <c r="A124">
        <v>123</v>
      </c>
      <c r="B124">
        <f t="shared" ca="1" si="9"/>
        <v>1</v>
      </c>
      <c r="C124">
        <f t="shared" ca="1" si="10"/>
        <v>0.02</v>
      </c>
      <c r="D124">
        <f t="shared" ca="1" si="11"/>
        <v>167442.04342057402</v>
      </c>
    </row>
    <row r="125" spans="1:4" x14ac:dyDescent="0.25">
      <c r="A125">
        <v>124</v>
      </c>
      <c r="B125">
        <f t="shared" ca="1" si="9"/>
        <v>-1</v>
      </c>
      <c r="C125">
        <f t="shared" ca="1" si="10"/>
        <v>-0.02</v>
      </c>
      <c r="D125">
        <f t="shared" ca="1" si="11"/>
        <v>164093.20255216255</v>
      </c>
    </row>
    <row r="126" spans="1:4" x14ac:dyDescent="0.25">
      <c r="A126">
        <v>125</v>
      </c>
      <c r="B126">
        <f t="shared" ca="1" si="9"/>
        <v>1</v>
      </c>
      <c r="C126">
        <f t="shared" ca="1" si="10"/>
        <v>0.02</v>
      </c>
      <c r="D126">
        <f t="shared" ca="1" si="11"/>
        <v>167375.06660320581</v>
      </c>
    </row>
    <row r="127" spans="1:4" x14ac:dyDescent="0.25">
      <c r="A127">
        <v>126</v>
      </c>
      <c r="B127">
        <f t="shared" ca="1" si="9"/>
        <v>1</v>
      </c>
      <c r="C127">
        <f t="shared" ca="1" si="10"/>
        <v>0.02</v>
      </c>
      <c r="D127">
        <f t="shared" ca="1" si="11"/>
        <v>170722.56793526994</v>
      </c>
    </row>
    <row r="128" spans="1:4" x14ac:dyDescent="0.25">
      <c r="A128">
        <v>127</v>
      </c>
      <c r="B128">
        <f t="shared" ca="1" si="9"/>
        <v>1</v>
      </c>
      <c r="C128">
        <f t="shared" ca="1" si="10"/>
        <v>0.02</v>
      </c>
      <c r="D128">
        <f t="shared" ca="1" si="11"/>
        <v>174137.01929397535</v>
      </c>
    </row>
    <row r="129" spans="1:4" x14ac:dyDescent="0.25">
      <c r="A129">
        <v>128</v>
      </c>
      <c r="B129">
        <f t="shared" ca="1" si="9"/>
        <v>-1</v>
      </c>
      <c r="C129">
        <f t="shared" ca="1" si="10"/>
        <v>-0.02</v>
      </c>
      <c r="D129">
        <f t="shared" ca="1" si="11"/>
        <v>170654.27890809585</v>
      </c>
    </row>
    <row r="130" spans="1:4" x14ac:dyDescent="0.25">
      <c r="A130">
        <v>129</v>
      </c>
      <c r="B130">
        <f t="shared" ref="B130:B161" ca="1" si="12">IF(RAND()&lt;0.55,1,-1)</f>
        <v>-1</v>
      </c>
      <c r="C130">
        <f t="shared" ref="C130:C161" ca="1" si="13">B130*0.02</f>
        <v>-0.02</v>
      </c>
      <c r="D130">
        <f t="shared" ca="1" si="11"/>
        <v>167241.19332993391</v>
      </c>
    </row>
    <row r="131" spans="1:4" x14ac:dyDescent="0.25">
      <c r="A131">
        <v>130</v>
      </c>
      <c r="B131">
        <f t="shared" ca="1" si="12"/>
        <v>1</v>
      </c>
      <c r="C131">
        <f t="shared" ca="1" si="13"/>
        <v>0.02</v>
      </c>
      <c r="D131">
        <f t="shared" ref="D131:D162" ca="1" si="14">D130*(1+C131)</f>
        <v>170586.0171965326</v>
      </c>
    </row>
    <row r="132" spans="1:4" x14ac:dyDescent="0.25">
      <c r="A132">
        <v>131</v>
      </c>
      <c r="B132">
        <f t="shared" ca="1" si="12"/>
        <v>-1</v>
      </c>
      <c r="C132">
        <f t="shared" ca="1" si="13"/>
        <v>-0.02</v>
      </c>
      <c r="D132">
        <f t="shared" ca="1" si="14"/>
        <v>167174.29685260195</v>
      </c>
    </row>
    <row r="133" spans="1:4" x14ac:dyDescent="0.25">
      <c r="A133">
        <v>132</v>
      </c>
      <c r="B133">
        <f t="shared" ca="1" si="12"/>
        <v>1</v>
      </c>
      <c r="C133">
        <f t="shared" ca="1" si="13"/>
        <v>0.02</v>
      </c>
      <c r="D133">
        <f t="shared" ca="1" si="14"/>
        <v>170517.78278965398</v>
      </c>
    </row>
    <row r="134" spans="1:4" x14ac:dyDescent="0.25">
      <c r="A134">
        <v>133</v>
      </c>
      <c r="B134">
        <f t="shared" ca="1" si="12"/>
        <v>-1</v>
      </c>
      <c r="C134">
        <f t="shared" ca="1" si="13"/>
        <v>-0.02</v>
      </c>
      <c r="D134">
        <f t="shared" ca="1" si="14"/>
        <v>167107.42713386091</v>
      </c>
    </row>
    <row r="135" spans="1:4" x14ac:dyDescent="0.25">
      <c r="A135">
        <v>134</v>
      </c>
      <c r="B135">
        <f t="shared" ca="1" si="12"/>
        <v>-1</v>
      </c>
      <c r="C135">
        <f t="shared" ca="1" si="13"/>
        <v>-0.02</v>
      </c>
      <c r="D135">
        <f t="shared" ca="1" si="14"/>
        <v>163765.27859118368</v>
      </c>
    </row>
    <row r="136" spans="1:4" x14ac:dyDescent="0.25">
      <c r="A136">
        <v>135</v>
      </c>
      <c r="B136">
        <f t="shared" ca="1" si="12"/>
        <v>1</v>
      </c>
      <c r="C136">
        <f t="shared" ca="1" si="13"/>
        <v>0.02</v>
      </c>
      <c r="D136">
        <f t="shared" ca="1" si="14"/>
        <v>167040.58416300736</v>
      </c>
    </row>
    <row r="137" spans="1:4" x14ac:dyDescent="0.25">
      <c r="A137">
        <v>136</v>
      </c>
      <c r="B137">
        <f t="shared" ca="1" si="12"/>
        <v>1</v>
      </c>
      <c r="C137">
        <f t="shared" ca="1" si="13"/>
        <v>0.02</v>
      </c>
      <c r="D137">
        <f t="shared" ca="1" si="14"/>
        <v>170381.39584626749</v>
      </c>
    </row>
    <row r="138" spans="1:4" x14ac:dyDescent="0.25">
      <c r="A138">
        <v>137</v>
      </c>
      <c r="B138">
        <f t="shared" ca="1" si="12"/>
        <v>1</v>
      </c>
      <c r="C138">
        <f t="shared" ca="1" si="13"/>
        <v>0.02</v>
      </c>
      <c r="D138">
        <f t="shared" ca="1" si="14"/>
        <v>173789.02376319285</v>
      </c>
    </row>
    <row r="139" spans="1:4" x14ac:dyDescent="0.25">
      <c r="A139">
        <v>138</v>
      </c>
      <c r="B139">
        <f t="shared" ca="1" si="12"/>
        <v>-1</v>
      </c>
      <c r="C139">
        <f t="shared" ca="1" si="13"/>
        <v>-0.02</v>
      </c>
      <c r="D139">
        <f t="shared" ca="1" si="14"/>
        <v>170313.24328792898</v>
      </c>
    </row>
    <row r="140" spans="1:4" x14ac:dyDescent="0.25">
      <c r="A140">
        <v>139</v>
      </c>
      <c r="B140">
        <f t="shared" ca="1" si="12"/>
        <v>-1</v>
      </c>
      <c r="C140">
        <f t="shared" ca="1" si="13"/>
        <v>-0.02</v>
      </c>
      <c r="D140">
        <f t="shared" ca="1" si="14"/>
        <v>166906.97842217039</v>
      </c>
    </row>
    <row r="141" spans="1:4" x14ac:dyDescent="0.25">
      <c r="A141">
        <v>140</v>
      </c>
      <c r="B141">
        <f t="shared" ca="1" si="12"/>
        <v>-1</v>
      </c>
      <c r="C141">
        <f t="shared" ca="1" si="13"/>
        <v>-0.02</v>
      </c>
      <c r="D141">
        <f t="shared" ca="1" si="14"/>
        <v>163568.83885372698</v>
      </c>
    </row>
    <row r="142" spans="1:4" x14ac:dyDescent="0.25">
      <c r="A142">
        <v>141</v>
      </c>
      <c r="B142">
        <f t="shared" ca="1" si="12"/>
        <v>-1</v>
      </c>
      <c r="C142">
        <f t="shared" ca="1" si="13"/>
        <v>-0.02</v>
      </c>
      <c r="D142">
        <f t="shared" ca="1" si="14"/>
        <v>160297.46207665245</v>
      </c>
    </row>
    <row r="143" spans="1:4" x14ac:dyDescent="0.25">
      <c r="A143">
        <v>142</v>
      </c>
      <c r="B143">
        <f t="shared" ca="1" si="12"/>
        <v>-1</v>
      </c>
      <c r="C143">
        <f t="shared" ca="1" si="13"/>
        <v>-0.02</v>
      </c>
      <c r="D143">
        <f t="shared" ca="1" si="14"/>
        <v>157091.51283511939</v>
      </c>
    </row>
    <row r="144" spans="1:4" x14ac:dyDescent="0.25">
      <c r="A144">
        <v>143</v>
      </c>
      <c r="B144">
        <f t="shared" ca="1" si="12"/>
        <v>1</v>
      </c>
      <c r="C144">
        <f t="shared" ca="1" si="13"/>
        <v>0.02</v>
      </c>
      <c r="D144">
        <f t="shared" ca="1" si="14"/>
        <v>160233.34309182176</v>
      </c>
    </row>
    <row r="145" spans="1:4" x14ac:dyDescent="0.25">
      <c r="A145">
        <v>144</v>
      </c>
      <c r="B145">
        <f t="shared" ca="1" si="12"/>
        <v>1</v>
      </c>
      <c r="C145">
        <f t="shared" ca="1" si="13"/>
        <v>0.02</v>
      </c>
      <c r="D145">
        <f t="shared" ca="1" si="14"/>
        <v>163438.00995365821</v>
      </c>
    </row>
    <row r="146" spans="1:4" x14ac:dyDescent="0.25">
      <c r="A146">
        <v>145</v>
      </c>
      <c r="B146">
        <f t="shared" ca="1" si="12"/>
        <v>1</v>
      </c>
      <c r="C146">
        <f t="shared" ca="1" si="13"/>
        <v>0.02</v>
      </c>
      <c r="D146">
        <f t="shared" ca="1" si="14"/>
        <v>166706.77015273139</v>
      </c>
    </row>
    <row r="147" spans="1:4" x14ac:dyDescent="0.25">
      <c r="A147">
        <v>146</v>
      </c>
      <c r="B147">
        <f t="shared" ca="1" si="12"/>
        <v>-1</v>
      </c>
      <c r="C147">
        <f t="shared" ca="1" si="13"/>
        <v>-0.02</v>
      </c>
      <c r="D147">
        <f t="shared" ca="1" si="14"/>
        <v>163372.63474967677</v>
      </c>
    </row>
    <row r="148" spans="1:4" x14ac:dyDescent="0.25">
      <c r="A148">
        <v>147</v>
      </c>
      <c r="B148">
        <f t="shared" ca="1" si="12"/>
        <v>1</v>
      </c>
      <c r="C148">
        <f t="shared" ca="1" si="13"/>
        <v>0.02</v>
      </c>
      <c r="D148">
        <f t="shared" ca="1" si="14"/>
        <v>166640.08744467029</v>
      </c>
    </row>
    <row r="149" spans="1:4" x14ac:dyDescent="0.25">
      <c r="A149">
        <v>148</v>
      </c>
      <c r="B149">
        <f t="shared" ca="1" si="12"/>
        <v>1</v>
      </c>
      <c r="C149">
        <f t="shared" ca="1" si="13"/>
        <v>0.02</v>
      </c>
      <c r="D149">
        <f t="shared" ca="1" si="14"/>
        <v>169972.88919356369</v>
      </c>
    </row>
    <row r="150" spans="1:4" x14ac:dyDescent="0.25">
      <c r="A150">
        <v>149</v>
      </c>
      <c r="B150">
        <f t="shared" ca="1" si="12"/>
        <v>1</v>
      </c>
      <c r="C150">
        <f t="shared" ca="1" si="13"/>
        <v>0.02</v>
      </c>
      <c r="D150">
        <f t="shared" ca="1" si="14"/>
        <v>173372.34697743497</v>
      </c>
    </row>
    <row r="151" spans="1:4" x14ac:dyDescent="0.25">
      <c r="A151">
        <v>150</v>
      </c>
      <c r="B151">
        <f t="shared" ca="1" si="12"/>
        <v>1</v>
      </c>
      <c r="C151">
        <f t="shared" ca="1" si="13"/>
        <v>0.02</v>
      </c>
      <c r="D151">
        <f t="shared" ca="1" si="14"/>
        <v>176839.79391698368</v>
      </c>
    </row>
    <row r="152" spans="1:4" x14ac:dyDescent="0.25">
      <c r="A152">
        <v>151</v>
      </c>
      <c r="B152">
        <f t="shared" ca="1" si="12"/>
        <v>-1</v>
      </c>
      <c r="C152">
        <f t="shared" ca="1" si="13"/>
        <v>-0.02</v>
      </c>
      <c r="D152">
        <f t="shared" ca="1" si="14"/>
        <v>173302.998038644</v>
      </c>
    </row>
    <row r="153" spans="1:4" x14ac:dyDescent="0.25">
      <c r="A153">
        <v>152</v>
      </c>
      <c r="B153">
        <f t="shared" ca="1" si="12"/>
        <v>-1</v>
      </c>
      <c r="C153">
        <f t="shared" ca="1" si="13"/>
        <v>-0.02</v>
      </c>
      <c r="D153">
        <f t="shared" ca="1" si="14"/>
        <v>169836.93807787111</v>
      </c>
    </row>
    <row r="154" spans="1:4" x14ac:dyDescent="0.25">
      <c r="A154">
        <v>153</v>
      </c>
      <c r="B154">
        <f t="shared" ca="1" si="12"/>
        <v>-1</v>
      </c>
      <c r="C154">
        <f t="shared" ca="1" si="13"/>
        <v>-0.02</v>
      </c>
      <c r="D154">
        <f t="shared" ca="1" si="14"/>
        <v>166440.19931631369</v>
      </c>
    </row>
    <row r="155" spans="1:4" x14ac:dyDescent="0.25">
      <c r="A155">
        <v>154</v>
      </c>
      <c r="B155">
        <f t="shared" ca="1" si="12"/>
        <v>-1</v>
      </c>
      <c r="C155">
        <f t="shared" ca="1" si="13"/>
        <v>-0.02</v>
      </c>
      <c r="D155">
        <f t="shared" ca="1" si="14"/>
        <v>163111.39532998743</v>
      </c>
    </row>
    <row r="156" spans="1:4" x14ac:dyDescent="0.25">
      <c r="A156">
        <v>155</v>
      </c>
      <c r="B156">
        <f t="shared" ca="1" si="12"/>
        <v>-1</v>
      </c>
      <c r="C156">
        <f t="shared" ca="1" si="13"/>
        <v>-0.02</v>
      </c>
      <c r="D156">
        <f t="shared" ca="1" si="14"/>
        <v>159849.16742338767</v>
      </c>
    </row>
    <row r="157" spans="1:4" x14ac:dyDescent="0.25">
      <c r="A157">
        <v>156</v>
      </c>
      <c r="B157">
        <f t="shared" ca="1" si="12"/>
        <v>1</v>
      </c>
      <c r="C157">
        <f t="shared" ca="1" si="13"/>
        <v>0.02</v>
      </c>
      <c r="D157">
        <f t="shared" ca="1" si="14"/>
        <v>163046.15077185543</v>
      </c>
    </row>
    <row r="158" spans="1:4" x14ac:dyDescent="0.25">
      <c r="A158">
        <v>157</v>
      </c>
      <c r="B158">
        <f t="shared" ca="1" si="12"/>
        <v>1</v>
      </c>
      <c r="C158">
        <f t="shared" ca="1" si="13"/>
        <v>0.02</v>
      </c>
      <c r="D158">
        <f t="shared" ca="1" si="14"/>
        <v>166307.07378729255</v>
      </c>
    </row>
    <row r="159" spans="1:4" x14ac:dyDescent="0.25">
      <c r="A159">
        <v>158</v>
      </c>
      <c r="B159">
        <f t="shared" ca="1" si="12"/>
        <v>1</v>
      </c>
      <c r="C159">
        <f t="shared" ca="1" si="13"/>
        <v>0.02</v>
      </c>
      <c r="D159">
        <f t="shared" ca="1" si="14"/>
        <v>169633.21526303841</v>
      </c>
    </row>
    <row r="160" spans="1:4" x14ac:dyDescent="0.25">
      <c r="A160">
        <v>159</v>
      </c>
      <c r="B160">
        <f t="shared" ca="1" si="12"/>
        <v>-1</v>
      </c>
      <c r="C160">
        <f t="shared" ca="1" si="13"/>
        <v>-0.02</v>
      </c>
      <c r="D160">
        <f t="shared" ca="1" si="14"/>
        <v>166240.55095777762</v>
      </c>
    </row>
    <row r="161" spans="1:4" x14ac:dyDescent="0.25">
      <c r="A161">
        <v>160</v>
      </c>
      <c r="B161">
        <f t="shared" ca="1" si="12"/>
        <v>-1</v>
      </c>
      <c r="C161">
        <f t="shared" ca="1" si="13"/>
        <v>-0.02</v>
      </c>
      <c r="D161">
        <f t="shared" ca="1" si="14"/>
        <v>162915.73993862208</v>
      </c>
    </row>
    <row r="162" spans="1:4" x14ac:dyDescent="0.25">
      <c r="A162">
        <v>161</v>
      </c>
      <c r="B162">
        <f t="shared" ref="B162:B193" ca="1" si="15">IF(RAND()&lt;0.55,1,-1)</f>
        <v>1</v>
      </c>
      <c r="C162">
        <f t="shared" ref="C162:C193" ca="1" si="16">B162*0.02</f>
        <v>0.02</v>
      </c>
      <c r="D162">
        <f t="shared" ca="1" si="14"/>
        <v>166174.05473739453</v>
      </c>
    </row>
    <row r="163" spans="1:4" x14ac:dyDescent="0.25">
      <c r="A163">
        <v>162</v>
      </c>
      <c r="B163">
        <f t="shared" ca="1" si="15"/>
        <v>1</v>
      </c>
      <c r="C163">
        <f t="shared" ca="1" si="16"/>
        <v>0.02</v>
      </c>
      <c r="D163">
        <f t="shared" ref="D163:D194" ca="1" si="17">D162*(1+C163)</f>
        <v>169497.53583214243</v>
      </c>
    </row>
    <row r="164" spans="1:4" x14ac:dyDescent="0.25">
      <c r="A164">
        <v>163</v>
      </c>
      <c r="B164">
        <f t="shared" ca="1" si="15"/>
        <v>1</v>
      </c>
      <c r="C164">
        <f t="shared" ca="1" si="16"/>
        <v>0.02</v>
      </c>
      <c r="D164">
        <f t="shared" ca="1" si="17"/>
        <v>172887.48654878527</v>
      </c>
    </row>
    <row r="165" spans="1:4" x14ac:dyDescent="0.25">
      <c r="A165">
        <v>164</v>
      </c>
      <c r="B165">
        <f t="shared" ca="1" si="15"/>
        <v>-1</v>
      </c>
      <c r="C165">
        <f t="shared" ca="1" si="16"/>
        <v>-0.02</v>
      </c>
      <c r="D165">
        <f t="shared" ca="1" si="17"/>
        <v>169429.73681780955</v>
      </c>
    </row>
    <row r="166" spans="1:4" x14ac:dyDescent="0.25">
      <c r="A166">
        <v>165</v>
      </c>
      <c r="B166">
        <f t="shared" ca="1" si="15"/>
        <v>1</v>
      </c>
      <c r="C166">
        <f t="shared" ca="1" si="16"/>
        <v>0.02</v>
      </c>
      <c r="D166">
        <f t="shared" ca="1" si="17"/>
        <v>172818.33155416575</v>
      </c>
    </row>
    <row r="167" spans="1:4" x14ac:dyDescent="0.25">
      <c r="A167">
        <v>166</v>
      </c>
      <c r="B167">
        <f t="shared" ca="1" si="15"/>
        <v>1</v>
      </c>
      <c r="C167">
        <f t="shared" ca="1" si="16"/>
        <v>0.02</v>
      </c>
      <c r="D167">
        <f t="shared" ca="1" si="17"/>
        <v>176274.69818524906</v>
      </c>
    </row>
    <row r="168" spans="1:4" x14ac:dyDescent="0.25">
      <c r="A168">
        <v>167</v>
      </c>
      <c r="B168">
        <f t="shared" ca="1" si="15"/>
        <v>1</v>
      </c>
      <c r="C168">
        <f t="shared" ca="1" si="16"/>
        <v>0.02</v>
      </c>
      <c r="D168">
        <f t="shared" ca="1" si="17"/>
        <v>179800.19214895405</v>
      </c>
    </row>
    <row r="169" spans="1:4" x14ac:dyDescent="0.25">
      <c r="A169">
        <v>168</v>
      </c>
      <c r="B169">
        <f t="shared" ca="1" si="15"/>
        <v>1</v>
      </c>
      <c r="C169">
        <f t="shared" ca="1" si="16"/>
        <v>0.02</v>
      </c>
      <c r="D169">
        <f t="shared" ca="1" si="17"/>
        <v>183396.19599193314</v>
      </c>
    </row>
    <row r="170" spans="1:4" x14ac:dyDescent="0.25">
      <c r="A170">
        <v>169</v>
      </c>
      <c r="B170">
        <f t="shared" ca="1" si="15"/>
        <v>1</v>
      </c>
      <c r="C170">
        <f t="shared" ca="1" si="16"/>
        <v>0.02</v>
      </c>
      <c r="D170">
        <f t="shared" ca="1" si="17"/>
        <v>187064.11991177182</v>
      </c>
    </row>
    <row r="171" spans="1:4" x14ac:dyDescent="0.25">
      <c r="A171">
        <v>170</v>
      </c>
      <c r="B171">
        <f t="shared" ca="1" si="15"/>
        <v>-1</v>
      </c>
      <c r="C171">
        <f t="shared" ca="1" si="16"/>
        <v>-0.02</v>
      </c>
      <c r="D171">
        <f t="shared" ca="1" si="17"/>
        <v>183322.83751353639</v>
      </c>
    </row>
    <row r="172" spans="1:4" x14ac:dyDescent="0.25">
      <c r="A172">
        <v>171</v>
      </c>
      <c r="B172">
        <f t="shared" ca="1" si="15"/>
        <v>-1</v>
      </c>
      <c r="C172">
        <f t="shared" ca="1" si="16"/>
        <v>-0.02</v>
      </c>
      <c r="D172">
        <f t="shared" ca="1" si="17"/>
        <v>179656.38076326565</v>
      </c>
    </row>
    <row r="173" spans="1:4" x14ac:dyDescent="0.25">
      <c r="A173">
        <v>172</v>
      </c>
      <c r="B173">
        <f t="shared" ca="1" si="15"/>
        <v>1</v>
      </c>
      <c r="C173">
        <f t="shared" ca="1" si="16"/>
        <v>0.02</v>
      </c>
      <c r="D173">
        <f t="shared" ca="1" si="17"/>
        <v>183249.50837853097</v>
      </c>
    </row>
    <row r="174" spans="1:4" x14ac:dyDescent="0.25">
      <c r="A174">
        <v>173</v>
      </c>
      <c r="B174">
        <f t="shared" ca="1" si="15"/>
        <v>1</v>
      </c>
      <c r="C174">
        <f t="shared" ca="1" si="16"/>
        <v>0.02</v>
      </c>
      <c r="D174">
        <f t="shared" ca="1" si="17"/>
        <v>186914.49854610159</v>
      </c>
    </row>
    <row r="175" spans="1:4" x14ac:dyDescent="0.25">
      <c r="A175">
        <v>174</v>
      </c>
      <c r="B175">
        <f t="shared" ca="1" si="15"/>
        <v>1</v>
      </c>
      <c r="C175">
        <f t="shared" ca="1" si="16"/>
        <v>0.02</v>
      </c>
      <c r="D175">
        <f t="shared" ca="1" si="17"/>
        <v>190652.78851702361</v>
      </c>
    </row>
    <row r="176" spans="1:4" x14ac:dyDescent="0.25">
      <c r="A176">
        <v>175</v>
      </c>
      <c r="B176">
        <f t="shared" ca="1" si="15"/>
        <v>-1</v>
      </c>
      <c r="C176">
        <f t="shared" ca="1" si="16"/>
        <v>-0.02</v>
      </c>
      <c r="D176">
        <f t="shared" ca="1" si="17"/>
        <v>186839.73274668315</v>
      </c>
    </row>
    <row r="177" spans="1:4" x14ac:dyDescent="0.25">
      <c r="A177">
        <v>176</v>
      </c>
      <c r="B177">
        <f t="shared" ca="1" si="15"/>
        <v>1</v>
      </c>
      <c r="C177">
        <f t="shared" ca="1" si="16"/>
        <v>0.02</v>
      </c>
      <c r="D177">
        <f t="shared" ca="1" si="17"/>
        <v>190576.52740161683</v>
      </c>
    </row>
    <row r="178" spans="1:4" x14ac:dyDescent="0.25">
      <c r="A178">
        <v>177</v>
      </c>
      <c r="B178">
        <f t="shared" ca="1" si="15"/>
        <v>-1</v>
      </c>
      <c r="C178">
        <f t="shared" ca="1" si="16"/>
        <v>-0.02</v>
      </c>
      <c r="D178">
        <f t="shared" ca="1" si="17"/>
        <v>186764.99685358448</v>
      </c>
    </row>
    <row r="179" spans="1:4" x14ac:dyDescent="0.25">
      <c r="A179">
        <v>178</v>
      </c>
      <c r="B179">
        <f t="shared" ca="1" si="15"/>
        <v>1</v>
      </c>
      <c r="C179">
        <f t="shared" ca="1" si="16"/>
        <v>0.02</v>
      </c>
      <c r="D179">
        <f t="shared" ca="1" si="17"/>
        <v>190500.29679065617</v>
      </c>
    </row>
    <row r="180" spans="1:4" x14ac:dyDescent="0.25">
      <c r="A180">
        <v>179</v>
      </c>
      <c r="B180">
        <f t="shared" ca="1" si="15"/>
        <v>1</v>
      </c>
      <c r="C180">
        <f t="shared" ca="1" si="16"/>
        <v>0.02</v>
      </c>
      <c r="D180">
        <f t="shared" ca="1" si="17"/>
        <v>194310.30272646929</v>
      </c>
    </row>
    <row r="181" spans="1:4" x14ac:dyDescent="0.25">
      <c r="A181">
        <v>180</v>
      </c>
      <c r="B181">
        <f t="shared" ca="1" si="15"/>
        <v>1</v>
      </c>
      <c r="C181">
        <f t="shared" ca="1" si="16"/>
        <v>0.02</v>
      </c>
      <c r="D181">
        <f t="shared" ca="1" si="17"/>
        <v>198196.50878099867</v>
      </c>
    </row>
    <row r="182" spans="1:4" x14ac:dyDescent="0.25">
      <c r="A182">
        <v>181</v>
      </c>
      <c r="B182">
        <f t="shared" ca="1" si="15"/>
        <v>-1</v>
      </c>
      <c r="C182">
        <f t="shared" ca="1" si="16"/>
        <v>-0.02</v>
      </c>
      <c r="D182">
        <f t="shared" ca="1" si="17"/>
        <v>194232.57860537869</v>
      </c>
    </row>
    <row r="183" spans="1:4" x14ac:dyDescent="0.25">
      <c r="A183">
        <v>182</v>
      </c>
      <c r="B183">
        <f t="shared" ca="1" si="15"/>
        <v>-1</v>
      </c>
      <c r="C183">
        <f t="shared" ca="1" si="16"/>
        <v>-0.02</v>
      </c>
      <c r="D183">
        <f t="shared" ca="1" si="17"/>
        <v>190347.92703327112</v>
      </c>
    </row>
    <row r="184" spans="1:4" x14ac:dyDescent="0.25">
      <c r="A184">
        <v>183</v>
      </c>
      <c r="B184">
        <f t="shared" ca="1" si="15"/>
        <v>-1</v>
      </c>
      <c r="C184">
        <f t="shared" ca="1" si="16"/>
        <v>-0.02</v>
      </c>
      <c r="D184">
        <f t="shared" ca="1" si="17"/>
        <v>186540.96849260569</v>
      </c>
    </row>
    <row r="185" spans="1:4" x14ac:dyDescent="0.25">
      <c r="A185">
        <v>184</v>
      </c>
      <c r="B185">
        <f t="shared" ca="1" si="15"/>
        <v>1</v>
      </c>
      <c r="C185">
        <f t="shared" ca="1" si="16"/>
        <v>0.02</v>
      </c>
      <c r="D185">
        <f t="shared" ca="1" si="17"/>
        <v>190271.7878624578</v>
      </c>
    </row>
    <row r="186" spans="1:4" x14ac:dyDescent="0.25">
      <c r="A186">
        <v>185</v>
      </c>
      <c r="B186">
        <f t="shared" ca="1" si="15"/>
        <v>-1</v>
      </c>
      <c r="C186">
        <f t="shared" ca="1" si="16"/>
        <v>-0.02</v>
      </c>
      <c r="D186">
        <f t="shared" ca="1" si="17"/>
        <v>186466.35210520864</v>
      </c>
    </row>
    <row r="187" spans="1:4" x14ac:dyDescent="0.25">
      <c r="A187">
        <v>186</v>
      </c>
      <c r="B187">
        <f t="shared" ca="1" si="15"/>
        <v>-1</v>
      </c>
      <c r="C187">
        <f t="shared" ca="1" si="16"/>
        <v>-0.02</v>
      </c>
      <c r="D187">
        <f t="shared" ca="1" si="17"/>
        <v>182737.02506310446</v>
      </c>
    </row>
    <row r="188" spans="1:4" x14ac:dyDescent="0.25">
      <c r="A188">
        <v>187</v>
      </c>
      <c r="B188">
        <f t="shared" ca="1" si="15"/>
        <v>-1</v>
      </c>
      <c r="C188">
        <f t="shared" ca="1" si="16"/>
        <v>-0.02</v>
      </c>
      <c r="D188">
        <f t="shared" ca="1" si="17"/>
        <v>179082.28456184236</v>
      </c>
    </row>
    <row r="189" spans="1:4" x14ac:dyDescent="0.25">
      <c r="A189">
        <v>188</v>
      </c>
      <c r="B189">
        <f t="shared" ca="1" si="15"/>
        <v>1</v>
      </c>
      <c r="C189">
        <f t="shared" ca="1" si="16"/>
        <v>0.02</v>
      </c>
      <c r="D189">
        <f t="shared" ca="1" si="17"/>
        <v>182663.93025307922</v>
      </c>
    </row>
    <row r="190" spans="1:4" x14ac:dyDescent="0.25">
      <c r="A190">
        <v>189</v>
      </c>
      <c r="B190">
        <f t="shared" ca="1" si="15"/>
        <v>-1</v>
      </c>
      <c r="C190">
        <f t="shared" ca="1" si="16"/>
        <v>-0.02</v>
      </c>
      <c r="D190">
        <f t="shared" ca="1" si="17"/>
        <v>179010.65164801764</v>
      </c>
    </row>
    <row r="191" spans="1:4" x14ac:dyDescent="0.25">
      <c r="A191">
        <v>190</v>
      </c>
      <c r="B191">
        <f t="shared" ca="1" si="15"/>
        <v>-1</v>
      </c>
      <c r="C191">
        <f t="shared" ca="1" si="16"/>
        <v>-0.02</v>
      </c>
      <c r="D191">
        <f t="shared" ca="1" si="17"/>
        <v>175430.43861505727</v>
      </c>
    </row>
    <row r="192" spans="1:4" x14ac:dyDescent="0.25">
      <c r="A192">
        <v>191</v>
      </c>
      <c r="B192">
        <f t="shared" ca="1" si="15"/>
        <v>1</v>
      </c>
      <c r="C192">
        <f t="shared" ca="1" si="16"/>
        <v>0.02</v>
      </c>
      <c r="D192">
        <f t="shared" ca="1" si="17"/>
        <v>178939.04738735841</v>
      </c>
    </row>
    <row r="193" spans="1:4" x14ac:dyDescent="0.25">
      <c r="A193">
        <v>192</v>
      </c>
      <c r="B193">
        <f t="shared" ca="1" si="15"/>
        <v>-1</v>
      </c>
      <c r="C193">
        <f t="shared" ca="1" si="16"/>
        <v>-0.02</v>
      </c>
      <c r="D193">
        <f t="shared" ca="1" si="17"/>
        <v>175360.26643961124</v>
      </c>
    </row>
    <row r="194" spans="1:4" x14ac:dyDescent="0.25">
      <c r="A194">
        <v>193</v>
      </c>
      <c r="B194">
        <f t="shared" ref="B194:B201" ca="1" si="18">IF(RAND()&lt;0.55,1,-1)</f>
        <v>1</v>
      </c>
      <c r="C194">
        <f t="shared" ref="C194:C225" ca="1" si="19">B194*0.02</f>
        <v>0.02</v>
      </c>
      <c r="D194">
        <f t="shared" ca="1" si="17"/>
        <v>178867.47176840345</v>
      </c>
    </row>
    <row r="195" spans="1:4" x14ac:dyDescent="0.25">
      <c r="A195">
        <v>194</v>
      </c>
      <c r="B195">
        <f t="shared" ca="1" si="18"/>
        <v>1</v>
      </c>
      <c r="C195">
        <f t="shared" ca="1" si="19"/>
        <v>0.02</v>
      </c>
      <c r="D195">
        <f t="shared" ref="D195:D226" ca="1" si="20">D194*(1+C195)</f>
        <v>182444.82120377151</v>
      </c>
    </row>
    <row r="196" spans="1:4" x14ac:dyDescent="0.25">
      <c r="A196">
        <v>195</v>
      </c>
      <c r="B196">
        <f t="shared" ca="1" si="18"/>
        <v>1</v>
      </c>
      <c r="C196">
        <f t="shared" ca="1" si="19"/>
        <v>0.02</v>
      </c>
      <c r="D196">
        <f t="shared" ca="1" si="20"/>
        <v>186093.71762784696</v>
      </c>
    </row>
    <row r="197" spans="1:4" x14ac:dyDescent="0.25">
      <c r="A197">
        <v>196</v>
      </c>
      <c r="B197">
        <f t="shared" ca="1" si="18"/>
        <v>-1</v>
      </c>
      <c r="C197">
        <f t="shared" ca="1" si="19"/>
        <v>-0.02</v>
      </c>
      <c r="D197">
        <f t="shared" ca="1" si="20"/>
        <v>182371.84327529001</v>
      </c>
    </row>
    <row r="198" spans="1:4" x14ac:dyDescent="0.25">
      <c r="A198">
        <v>197</v>
      </c>
      <c r="B198">
        <f t="shared" ca="1" si="18"/>
        <v>1</v>
      </c>
      <c r="C198">
        <f t="shared" ca="1" si="19"/>
        <v>0.02</v>
      </c>
      <c r="D198">
        <f t="shared" ca="1" si="20"/>
        <v>186019.2801407958</v>
      </c>
    </row>
    <row r="199" spans="1:4" x14ac:dyDescent="0.25">
      <c r="A199">
        <v>198</v>
      </c>
      <c r="B199">
        <f t="shared" ca="1" si="18"/>
        <v>1</v>
      </c>
      <c r="C199">
        <f t="shared" ca="1" si="19"/>
        <v>0.02</v>
      </c>
      <c r="D199">
        <f t="shared" ca="1" si="20"/>
        <v>189739.66574361172</v>
      </c>
    </row>
    <row r="200" spans="1:4" x14ac:dyDescent="0.25">
      <c r="A200">
        <v>199</v>
      </c>
      <c r="B200">
        <f t="shared" ca="1" si="18"/>
        <v>-1</v>
      </c>
      <c r="C200">
        <f t="shared" ca="1" si="19"/>
        <v>-0.02</v>
      </c>
      <c r="D200">
        <f t="shared" ca="1" si="20"/>
        <v>185944.87242873947</v>
      </c>
    </row>
    <row r="201" spans="1:4" x14ac:dyDescent="0.25">
      <c r="A201">
        <v>200</v>
      </c>
      <c r="B201">
        <f t="shared" ca="1" si="18"/>
        <v>-1</v>
      </c>
      <c r="C201">
        <f t="shared" ca="1" si="19"/>
        <v>-0.02</v>
      </c>
      <c r="D201">
        <f t="shared" ca="1" si="20"/>
        <v>182225.97498016467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2"/>
  <sheetViews>
    <sheetView workbookViewId="0"/>
  </sheetViews>
  <sheetFormatPr defaultRowHeight="15" x14ac:dyDescent="0.25"/>
  <sheetData>
    <row r="1" spans="1:4" x14ac:dyDescent="0.25">
      <c r="A1" s="1" t="s">
        <v>451</v>
      </c>
      <c r="B1" s="1" t="s">
        <v>452</v>
      </c>
      <c r="C1" s="1" t="s">
        <v>453</v>
      </c>
      <c r="D1" s="1" t="s">
        <v>414</v>
      </c>
    </row>
    <row r="2" spans="1:4" x14ac:dyDescent="0.25">
      <c r="C2">
        <f>IF(B2=0,0,(A2*(B2+1)-1)/B2)</f>
        <v>0</v>
      </c>
      <c r="D2">
        <f>MAX(0,MIN(C2,0.05))</f>
        <v>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4"/>
  <sheetViews>
    <sheetView workbookViewId="0"/>
  </sheetViews>
  <sheetFormatPr defaultRowHeight="15" x14ac:dyDescent="0.25"/>
  <sheetData>
    <row r="1" spans="1:4" x14ac:dyDescent="0.25">
      <c r="A1" s="1" t="s">
        <v>24</v>
      </c>
      <c r="B1" s="1" t="s">
        <v>454</v>
      </c>
      <c r="C1" s="1" t="s">
        <v>455</v>
      </c>
      <c r="D1" s="1" t="s">
        <v>456</v>
      </c>
    </row>
    <row r="2" spans="1:4" x14ac:dyDescent="0.25">
      <c r="A2" t="s">
        <v>427</v>
      </c>
      <c r="C2" t="e">
        <f>B2/SUM(B2:B4)</f>
        <v>#DIV/0!</v>
      </c>
      <c r="D2" t="e">
        <f>1+C2</f>
        <v>#DIV/0!</v>
      </c>
    </row>
    <row r="3" spans="1:4" x14ac:dyDescent="0.25">
      <c r="A3" t="s">
        <v>428</v>
      </c>
      <c r="C3" t="e">
        <f>B3/SUM(B2:B4)</f>
        <v>#DIV/0!</v>
      </c>
      <c r="D3" t="e">
        <f>1+C3</f>
        <v>#DIV/0!</v>
      </c>
    </row>
    <row r="4" spans="1:4" x14ac:dyDescent="0.25">
      <c r="A4" t="s">
        <v>429</v>
      </c>
      <c r="C4" t="e">
        <f>B4/SUM(B2:B4)</f>
        <v>#DIV/0!</v>
      </c>
      <c r="D4" t="e">
        <f>1+C4</f>
        <v>#DIV/0!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D6"/>
  <sheetViews>
    <sheetView workbookViewId="0"/>
  </sheetViews>
  <sheetFormatPr defaultRowHeight="15" x14ac:dyDescent="0.25"/>
  <sheetData>
    <row r="1" spans="1:4" x14ac:dyDescent="0.25">
      <c r="A1" s="1" t="s">
        <v>457</v>
      </c>
      <c r="B1" s="1" t="s">
        <v>458</v>
      </c>
      <c r="C1" s="1" t="s">
        <v>459</v>
      </c>
      <c r="D1" s="1" t="s">
        <v>460</v>
      </c>
    </row>
    <row r="2" spans="1:4" x14ac:dyDescent="0.25">
      <c r="A2" t="s">
        <v>461</v>
      </c>
      <c r="D2" t="e">
        <f>B2*C2/SUMPRODUCT(B2:B6,C2:C6)</f>
        <v>#DIV/0!</v>
      </c>
    </row>
    <row r="3" spans="1:4" x14ac:dyDescent="0.25">
      <c r="A3" t="s">
        <v>462</v>
      </c>
      <c r="D3" t="e">
        <f>B3*C3/SUMPRODUCT(B2:B6,C2:C6)</f>
        <v>#DIV/0!</v>
      </c>
    </row>
    <row r="4" spans="1:4" x14ac:dyDescent="0.25">
      <c r="A4" t="s">
        <v>463</v>
      </c>
      <c r="D4" t="e">
        <f>B4*C4/SUMPRODUCT(B2:B6,C2:C6)</f>
        <v>#DIV/0!</v>
      </c>
    </row>
    <row r="5" spans="1:4" x14ac:dyDescent="0.25">
      <c r="A5" t="s">
        <v>464</v>
      </c>
      <c r="D5" t="e">
        <f>B5*C5/SUMPRODUCT(B2:B6,C2:C6)</f>
        <v>#DIV/0!</v>
      </c>
    </row>
    <row r="6" spans="1:4" x14ac:dyDescent="0.25">
      <c r="A6" t="s">
        <v>101</v>
      </c>
      <c r="D6" t="e">
        <f>B6*C6/SUMPRODUCT(B2:B6,C2:C6)</f>
        <v>#DIV/0!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D2"/>
  <sheetViews>
    <sheetView workbookViewId="0"/>
  </sheetViews>
  <sheetFormatPr defaultRowHeight="15" x14ac:dyDescent="0.25"/>
  <sheetData>
    <row r="1" spans="1:4" x14ac:dyDescent="0.25">
      <c r="A1" s="1" t="s">
        <v>465</v>
      </c>
      <c r="B1" s="1" t="s">
        <v>466</v>
      </c>
      <c r="C1" s="1" t="s">
        <v>467</v>
      </c>
      <c r="D1" s="1" t="s">
        <v>468</v>
      </c>
    </row>
    <row r="2" spans="1:4" x14ac:dyDescent="0.25">
      <c r="A2" t="s">
        <v>427</v>
      </c>
      <c r="D2">
        <f>B2*C2</f>
        <v>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D2"/>
  <sheetViews>
    <sheetView workbookViewId="0"/>
  </sheetViews>
  <sheetFormatPr defaultRowHeight="15" x14ac:dyDescent="0.25"/>
  <sheetData>
    <row r="1" spans="1:4" x14ac:dyDescent="0.25">
      <c r="A1" s="1" t="s">
        <v>411</v>
      </c>
      <c r="B1" s="1" t="s">
        <v>412</v>
      </c>
      <c r="C1" s="1" t="s">
        <v>413</v>
      </c>
      <c r="D1" s="1" t="s">
        <v>469</v>
      </c>
    </row>
    <row r="2" spans="1:4" x14ac:dyDescent="0.25">
      <c r="C2">
        <f>IF(B2=0,0,(B2-A2)/B2)</f>
        <v>0</v>
      </c>
      <c r="D2" t="str">
        <f>IF(C2&gt;0.2,"CRISIS",IF(C2&gt;0.1,"WARNING","STABLE"))</f>
        <v>STABLE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D2"/>
  <sheetViews>
    <sheetView workbookViewId="0"/>
  </sheetViews>
  <sheetFormatPr defaultRowHeight="15" x14ac:dyDescent="0.25"/>
  <sheetData>
    <row r="1" spans="1:4" x14ac:dyDescent="0.25">
      <c r="A1" s="1" t="s">
        <v>470</v>
      </c>
      <c r="B1" s="1" t="s">
        <v>471</v>
      </c>
      <c r="C1" s="1" t="s">
        <v>472</v>
      </c>
      <c r="D1" s="1" t="s">
        <v>473</v>
      </c>
    </row>
    <row r="2" spans="1:4" x14ac:dyDescent="0.25">
      <c r="B2" t="e">
        <f>STDEV(A2:A21)</f>
        <v>#DIV/0!</v>
      </c>
      <c r="C2">
        <f>IF(A2=0,0,B2/A2)</f>
        <v>0</v>
      </c>
      <c r="D2" t="str">
        <f>IF(C2&gt;0.5,"UNSTABLE","STABLE")</f>
        <v>STABLE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D2"/>
  <sheetViews>
    <sheetView workbookViewId="0"/>
  </sheetViews>
  <sheetFormatPr defaultRowHeight="15" x14ac:dyDescent="0.25"/>
  <sheetData>
    <row r="1" spans="1:4" x14ac:dyDescent="0.25">
      <c r="A1" s="1" t="s">
        <v>474</v>
      </c>
      <c r="B1" s="1" t="s">
        <v>475</v>
      </c>
      <c r="C1" s="1" t="s">
        <v>476</v>
      </c>
      <c r="D1" s="1" t="s">
        <v>477</v>
      </c>
    </row>
    <row r="2" spans="1:4" x14ac:dyDescent="0.25">
      <c r="C2">
        <f>IF(B2=0,0,A2/B2)</f>
        <v>0</v>
      </c>
      <c r="D2" t="str">
        <f>IF(C2&gt;0.02,"ACCELERATE","HOLD")</f>
        <v>HOLD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D4"/>
  <sheetViews>
    <sheetView workbookViewId="0"/>
  </sheetViews>
  <sheetFormatPr defaultRowHeight="15" x14ac:dyDescent="0.25"/>
  <sheetData>
    <row r="1" spans="1:4" x14ac:dyDescent="0.25">
      <c r="A1" s="1" t="s">
        <v>388</v>
      </c>
      <c r="B1" s="1" t="s">
        <v>478</v>
      </c>
      <c r="C1" s="1" t="s">
        <v>419</v>
      </c>
      <c r="D1" s="1" t="s">
        <v>479</v>
      </c>
    </row>
    <row r="2" spans="1:4" x14ac:dyDescent="0.25">
      <c r="A2" t="s">
        <v>404</v>
      </c>
      <c r="D2">
        <f>IF(B2&lt;C2,0.95,1.05)</f>
        <v>1.05</v>
      </c>
    </row>
    <row r="3" spans="1:4" x14ac:dyDescent="0.25">
      <c r="A3" t="s">
        <v>480</v>
      </c>
      <c r="D3">
        <f>IF(B3&lt;C3,0.97,1.03)</f>
        <v>1.03</v>
      </c>
    </row>
    <row r="4" spans="1:4" x14ac:dyDescent="0.25">
      <c r="A4" t="s">
        <v>481</v>
      </c>
      <c r="D4">
        <f>IF(B4&gt;C4,0.9,1.02)</f>
        <v>1.02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D6"/>
  <sheetViews>
    <sheetView workbookViewId="0"/>
  </sheetViews>
  <sheetFormatPr defaultRowHeight="15" x14ac:dyDescent="0.25"/>
  <sheetData>
    <row r="1" spans="1:4" x14ac:dyDescent="0.25">
      <c r="A1" s="1" t="s">
        <v>482</v>
      </c>
      <c r="B1" s="1" t="s">
        <v>483</v>
      </c>
      <c r="C1" s="1" t="s">
        <v>484</v>
      </c>
      <c r="D1" s="1" t="s">
        <v>485</v>
      </c>
    </row>
    <row r="2" spans="1:4" x14ac:dyDescent="0.25">
      <c r="A2" t="s">
        <v>486</v>
      </c>
      <c r="C2" t="e">
        <f>B2/SUM(B2:B6)</f>
        <v>#DIV/0!</v>
      </c>
      <c r="D2" t="e">
        <f>C2*100000</f>
        <v>#DIV/0!</v>
      </c>
    </row>
    <row r="3" spans="1:4" x14ac:dyDescent="0.25">
      <c r="A3" t="s">
        <v>487</v>
      </c>
      <c r="C3" t="e">
        <f>B3/SUM(B2:B6)</f>
        <v>#DIV/0!</v>
      </c>
      <c r="D3" t="e">
        <f>C3*100000</f>
        <v>#DIV/0!</v>
      </c>
    </row>
    <row r="4" spans="1:4" x14ac:dyDescent="0.25">
      <c r="A4" t="s">
        <v>488</v>
      </c>
      <c r="C4" t="e">
        <f>B4/SUM(B2:B6)</f>
        <v>#DIV/0!</v>
      </c>
      <c r="D4" t="e">
        <f>C4*100000</f>
        <v>#DIV/0!</v>
      </c>
    </row>
    <row r="5" spans="1:4" x14ac:dyDescent="0.25">
      <c r="A5" t="s">
        <v>489</v>
      </c>
      <c r="C5" t="e">
        <f>B5/SUM(B2:B6)</f>
        <v>#DIV/0!</v>
      </c>
      <c r="D5" t="e">
        <f>C5*100000</f>
        <v>#DIV/0!</v>
      </c>
    </row>
    <row r="6" spans="1:4" x14ac:dyDescent="0.25">
      <c r="A6" t="s">
        <v>490</v>
      </c>
      <c r="C6" t="e">
        <f>B6/SUM(B2:B6)</f>
        <v>#DIV/0!</v>
      </c>
      <c r="D6" t="e">
        <f>C6*100000</f>
        <v>#DIV/0!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D2"/>
  <sheetViews>
    <sheetView workbookViewId="0"/>
  </sheetViews>
  <sheetFormatPr defaultRowHeight="15" x14ac:dyDescent="0.25"/>
  <sheetData>
    <row r="1" spans="1:4" x14ac:dyDescent="0.25">
      <c r="A1" s="1" t="s">
        <v>491</v>
      </c>
      <c r="B1" s="1" t="s">
        <v>371</v>
      </c>
      <c r="C1" s="1" t="s">
        <v>492</v>
      </c>
      <c r="D1" s="1" t="s">
        <v>493</v>
      </c>
    </row>
    <row r="2" spans="1:4" x14ac:dyDescent="0.25">
      <c r="D2">
        <f>IF(A2="UPTREND",C2*1.1,IF(A2="DOWNTREND",C2*0.7,C2))</f>
        <v>0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2"/>
  <sheetViews>
    <sheetView workbookViewId="0"/>
  </sheetViews>
  <sheetFormatPr defaultRowHeight="15" x14ac:dyDescent="0.25"/>
  <sheetData>
    <row r="1" spans="1:5" x14ac:dyDescent="0.25">
      <c r="A1" s="1" t="s">
        <v>494</v>
      </c>
      <c r="B1" s="1" t="s">
        <v>495</v>
      </c>
      <c r="C1" s="1" t="s">
        <v>496</v>
      </c>
      <c r="D1" s="1" t="s">
        <v>497</v>
      </c>
      <c r="E1" s="1" t="s">
        <v>498</v>
      </c>
    </row>
    <row r="2" spans="1:5" x14ac:dyDescent="0.25">
      <c r="A2">
        <v>1</v>
      </c>
      <c r="E2" t="str">
        <f>IF(D2&gt;0,"KEEP","REPLACE")</f>
        <v>REPLACE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H6"/>
  <sheetViews>
    <sheetView workbookViewId="0"/>
  </sheetViews>
  <sheetFormatPr defaultRowHeight="15" x14ac:dyDescent="0.25"/>
  <sheetData>
    <row r="1" spans="1:8" x14ac:dyDescent="0.25">
      <c r="A1" s="1" t="s">
        <v>499</v>
      </c>
      <c r="B1" s="1" t="s">
        <v>500</v>
      </c>
      <c r="C1" s="1" t="s">
        <v>406</v>
      </c>
      <c r="D1" s="1" t="s">
        <v>501</v>
      </c>
      <c r="E1" s="1" t="s">
        <v>402</v>
      </c>
      <c r="F1" s="1" t="s">
        <v>502</v>
      </c>
      <c r="G1" s="1" t="s">
        <v>413</v>
      </c>
      <c r="H1" s="1" t="s">
        <v>503</v>
      </c>
    </row>
    <row r="2" spans="1:8" x14ac:dyDescent="0.25">
      <c r="A2" t="s">
        <v>504</v>
      </c>
      <c r="H2">
        <f>E2*0.4 + F2*0.3 - G2*0.3</f>
        <v>0</v>
      </c>
    </row>
    <row r="3" spans="1:8" x14ac:dyDescent="0.25">
      <c r="A3" t="s">
        <v>505</v>
      </c>
      <c r="H3">
        <f>E3*0.4 + F3*0.3 - G3*0.3</f>
        <v>0</v>
      </c>
    </row>
    <row r="4" spans="1:8" x14ac:dyDescent="0.25">
      <c r="A4" t="s">
        <v>506</v>
      </c>
      <c r="H4">
        <f>E4*0.4 + F4*0.3 - G4*0.3</f>
        <v>0</v>
      </c>
    </row>
    <row r="5" spans="1:8" x14ac:dyDescent="0.25">
      <c r="A5" t="s">
        <v>507</v>
      </c>
      <c r="H5">
        <f>E5*0.4 + F5*0.3 - G5*0.3</f>
        <v>0</v>
      </c>
    </row>
    <row r="6" spans="1:8" x14ac:dyDescent="0.25">
      <c r="A6" t="s">
        <v>508</v>
      </c>
      <c r="H6">
        <f>E6*0.4 + F6*0.3 - G6*0.3</f>
        <v>0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F2"/>
  <sheetViews>
    <sheetView workbookViewId="0"/>
  </sheetViews>
  <sheetFormatPr defaultRowHeight="15" x14ac:dyDescent="0.25"/>
  <sheetData>
    <row r="1" spans="1:6" x14ac:dyDescent="0.25">
      <c r="A1" s="1" t="s">
        <v>482</v>
      </c>
      <c r="B1" s="1" t="s">
        <v>396</v>
      </c>
      <c r="C1" s="1" t="s">
        <v>399</v>
      </c>
      <c r="D1" s="1" t="s">
        <v>406</v>
      </c>
      <c r="E1" s="1" t="s">
        <v>401</v>
      </c>
      <c r="F1" s="1" t="s">
        <v>450</v>
      </c>
    </row>
    <row r="2" spans="1:6" x14ac:dyDescent="0.25">
      <c r="A2" t="s">
        <v>504</v>
      </c>
      <c r="B2">
        <v>1</v>
      </c>
      <c r="E2">
        <f>C2*D2</f>
        <v>0</v>
      </c>
      <c r="F2">
        <f>100000+E2</f>
        <v>100000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D2"/>
  <sheetViews>
    <sheetView workbookViewId="0"/>
  </sheetViews>
  <sheetFormatPr defaultRowHeight="15" x14ac:dyDescent="0.25"/>
  <sheetData>
    <row r="1" spans="1:4" x14ac:dyDescent="0.25">
      <c r="A1" s="1" t="s">
        <v>499</v>
      </c>
      <c r="B1" s="1" t="s">
        <v>503</v>
      </c>
      <c r="C1" s="1" t="s">
        <v>509</v>
      </c>
      <c r="D1" s="1" t="s">
        <v>510</v>
      </c>
    </row>
    <row r="2" spans="1:4" x14ac:dyDescent="0.25">
      <c r="A2" t="s">
        <v>504</v>
      </c>
      <c r="C2" t="e">
        <f>RANK(B2,B2:B6)</f>
        <v>#N/A</v>
      </c>
      <c r="D2" t="e">
        <f>IF(C2&lt;=2,"SURVIVE","REPLACE")</f>
        <v>#N/A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D2"/>
  <sheetViews>
    <sheetView workbookViewId="0"/>
  </sheetViews>
  <sheetFormatPr defaultRowHeight="15" x14ac:dyDescent="0.25"/>
  <sheetData>
    <row r="1" spans="1:4" x14ac:dyDescent="0.25">
      <c r="A1" s="1" t="s">
        <v>482</v>
      </c>
      <c r="B1" s="1" t="s">
        <v>511</v>
      </c>
      <c r="C1" s="1" t="s">
        <v>512</v>
      </c>
      <c r="D1" s="1" t="s">
        <v>513</v>
      </c>
    </row>
    <row r="2" spans="1:4" x14ac:dyDescent="0.25">
      <c r="A2" t="s">
        <v>504</v>
      </c>
      <c r="C2" t="e">
        <f>B2/SUM(B2:B6)</f>
        <v>#DIV/0!</v>
      </c>
      <c r="D2" t="e">
        <f>C2*100000</f>
        <v>#DIV/0!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B6"/>
  <sheetViews>
    <sheetView workbookViewId="0"/>
  </sheetViews>
  <sheetFormatPr defaultRowHeight="15" x14ac:dyDescent="0.25"/>
  <sheetData>
    <row r="1" spans="1:2" x14ac:dyDescent="0.25">
      <c r="A1" s="1" t="s">
        <v>388</v>
      </c>
      <c r="B1" s="1" t="s">
        <v>514</v>
      </c>
    </row>
    <row r="2" spans="1:2" x14ac:dyDescent="0.25">
      <c r="A2" t="s">
        <v>515</v>
      </c>
    </row>
    <row r="3" spans="1:2" x14ac:dyDescent="0.25">
      <c r="A3" t="s">
        <v>516</v>
      </c>
    </row>
    <row r="4" spans="1:2" x14ac:dyDescent="0.25">
      <c r="A4" t="s">
        <v>517</v>
      </c>
    </row>
    <row r="5" spans="1:2" x14ac:dyDescent="0.25">
      <c r="A5" t="s">
        <v>518</v>
      </c>
    </row>
    <row r="6" spans="1:2" x14ac:dyDescent="0.25">
      <c r="A6" t="s">
        <v>519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D2"/>
  <sheetViews>
    <sheetView workbookViewId="0"/>
  </sheetViews>
  <sheetFormatPr defaultRowHeight="15" x14ac:dyDescent="0.25"/>
  <sheetData>
    <row r="1" spans="1:4" x14ac:dyDescent="0.25">
      <c r="A1" s="1" t="s">
        <v>520</v>
      </c>
      <c r="B1" s="1" t="s">
        <v>521</v>
      </c>
      <c r="C1" s="1" t="s">
        <v>522</v>
      </c>
      <c r="D1" s="1" t="s">
        <v>523</v>
      </c>
    </row>
    <row r="2" spans="1:4" x14ac:dyDescent="0.25">
      <c r="A2" t="s">
        <v>504</v>
      </c>
      <c r="C2">
        <f ca="1">RAND()*0.2-0.1</f>
        <v>-3.3816428310866245E-2</v>
      </c>
      <c r="D2">
        <f ca="1">B2*(1+C2)</f>
        <v>0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D2"/>
  <sheetViews>
    <sheetView workbookViewId="0"/>
  </sheetViews>
  <sheetFormatPr defaultRowHeight="15" x14ac:dyDescent="0.25"/>
  <sheetData>
    <row r="1" spans="1:4" x14ac:dyDescent="0.25">
      <c r="A1" s="1" t="s">
        <v>524</v>
      </c>
      <c r="B1" s="1" t="s">
        <v>525</v>
      </c>
      <c r="C1" s="1" t="s">
        <v>526</v>
      </c>
      <c r="D1" s="1" t="s">
        <v>527</v>
      </c>
    </row>
    <row r="2" spans="1:4" x14ac:dyDescent="0.25">
      <c r="C2" t="e">
        <f>AVERAGE(A2,B2)</f>
        <v>#DIV/0!</v>
      </c>
      <c r="D2" t="str">
        <f>IF(A2&gt;B2,"A_DOMINANT","B_DOMINANT")</f>
        <v>B_DOMINANT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D2"/>
  <sheetViews>
    <sheetView workbookViewId="0"/>
  </sheetViews>
  <sheetFormatPr defaultRowHeight="15" x14ac:dyDescent="0.25"/>
  <sheetData>
    <row r="1" spans="1:4" x14ac:dyDescent="0.25">
      <c r="A1" s="1" t="s">
        <v>528</v>
      </c>
      <c r="B1" s="1" t="s">
        <v>529</v>
      </c>
      <c r="C1" s="1" t="s">
        <v>530</v>
      </c>
      <c r="D1" s="1" t="s">
        <v>531</v>
      </c>
    </row>
    <row r="2" spans="1:4" x14ac:dyDescent="0.25">
      <c r="A2" t="s">
        <v>504</v>
      </c>
      <c r="B2" t="s">
        <v>505</v>
      </c>
      <c r="C2" t="s">
        <v>532</v>
      </c>
      <c r="D2">
        <f ca="1">RAND()*100</f>
        <v>98.821964079066731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D2"/>
  <sheetViews>
    <sheetView workbookViewId="0"/>
  </sheetViews>
  <sheetFormatPr defaultRowHeight="15" x14ac:dyDescent="0.25"/>
  <sheetData>
    <row r="1" spans="1:4" x14ac:dyDescent="0.25">
      <c r="A1" s="1" t="s">
        <v>533</v>
      </c>
      <c r="B1" s="1" t="s">
        <v>499</v>
      </c>
      <c r="C1" s="1" t="s">
        <v>511</v>
      </c>
      <c r="D1" s="1" t="s">
        <v>534</v>
      </c>
    </row>
    <row r="2" spans="1:4" x14ac:dyDescent="0.25">
      <c r="A2">
        <v>1</v>
      </c>
      <c r="B2" t="s">
        <v>504</v>
      </c>
      <c r="D2" t="str">
        <f>IF(C2&gt;50,"YES","NO")</f>
        <v>NO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D2"/>
  <sheetViews>
    <sheetView workbookViewId="0"/>
  </sheetViews>
  <sheetFormatPr defaultRowHeight="15" x14ac:dyDescent="0.25"/>
  <sheetData>
    <row r="1" spans="1:4" x14ac:dyDescent="0.25">
      <c r="A1" s="1" t="s">
        <v>535</v>
      </c>
      <c r="B1" s="1" t="s">
        <v>536</v>
      </c>
      <c r="C1" s="1" t="s">
        <v>537</v>
      </c>
      <c r="D1" s="1" t="s">
        <v>538</v>
      </c>
    </row>
    <row r="2" spans="1:4" x14ac:dyDescent="0.25">
      <c r="A2">
        <v>0.1</v>
      </c>
      <c r="B2">
        <v>0.5</v>
      </c>
      <c r="C2">
        <v>10</v>
      </c>
      <c r="D2" t="s">
        <v>539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E4"/>
  <sheetViews>
    <sheetView workbookViewId="0"/>
  </sheetViews>
  <sheetFormatPr defaultRowHeight="15" x14ac:dyDescent="0.25"/>
  <sheetData>
    <row r="1" spans="1:5" x14ac:dyDescent="0.25">
      <c r="A1" s="1" t="s">
        <v>24</v>
      </c>
      <c r="B1" s="1" t="s">
        <v>404</v>
      </c>
      <c r="C1" s="1" t="s">
        <v>405</v>
      </c>
      <c r="D1" s="1" t="s">
        <v>483</v>
      </c>
      <c r="E1" s="1" t="s">
        <v>456</v>
      </c>
    </row>
    <row r="2" spans="1:5" x14ac:dyDescent="0.25">
      <c r="A2" t="s">
        <v>540</v>
      </c>
      <c r="D2">
        <f>B2*C2</f>
        <v>0</v>
      </c>
      <c r="E2">
        <f>IF(D2&gt;0,1.1,0.9)</f>
        <v>0.9</v>
      </c>
    </row>
    <row r="3" spans="1:5" x14ac:dyDescent="0.25">
      <c r="A3" t="s">
        <v>541</v>
      </c>
      <c r="D3">
        <f>B3*C3</f>
        <v>0</v>
      </c>
      <c r="E3">
        <f>IF(D3&gt;0,1.1,0.9)</f>
        <v>0.9</v>
      </c>
    </row>
    <row r="4" spans="1:5" x14ac:dyDescent="0.25">
      <c r="A4" t="s">
        <v>542</v>
      </c>
      <c r="D4">
        <f>B4*C4</f>
        <v>0</v>
      </c>
      <c r="E4">
        <f>IF(D4&gt;0,1.1,0.9)</f>
        <v>0.9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D2"/>
  <sheetViews>
    <sheetView workbookViewId="0"/>
  </sheetViews>
  <sheetFormatPr defaultRowHeight="15" x14ac:dyDescent="0.25"/>
  <sheetData>
    <row r="1" spans="1:4" x14ac:dyDescent="0.25">
      <c r="A1" s="1" t="s">
        <v>543</v>
      </c>
      <c r="B1" s="1" t="s">
        <v>544</v>
      </c>
      <c r="C1" s="1" t="s">
        <v>436</v>
      </c>
      <c r="D1" s="1" t="s">
        <v>545</v>
      </c>
    </row>
    <row r="2" spans="1:4" x14ac:dyDescent="0.25">
      <c r="C2" t="e">
        <f>CORREL(A2:A21,B2:B21)</f>
        <v>#DIV/0!</v>
      </c>
      <c r="D2" t="e">
        <f>IF(C2&gt;0.7,0.8,1)</f>
        <v>#DIV/0!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D4"/>
  <sheetViews>
    <sheetView workbookViewId="0"/>
  </sheetViews>
  <sheetFormatPr defaultRowHeight="15" x14ac:dyDescent="0.25"/>
  <sheetData>
    <row r="1" spans="1:4" x14ac:dyDescent="0.25">
      <c r="A1" s="1" t="s">
        <v>546</v>
      </c>
      <c r="B1" s="1" t="s">
        <v>547</v>
      </c>
      <c r="C1" s="1" t="s">
        <v>548</v>
      </c>
      <c r="D1" s="1" t="s">
        <v>549</v>
      </c>
    </row>
    <row r="2" spans="1:4" x14ac:dyDescent="0.25">
      <c r="A2" t="s">
        <v>550</v>
      </c>
      <c r="D2" t="str">
        <f>IF(B2&gt;0.05,"OVERWEIGHT","NEUTRAL")</f>
        <v>NEUTRAL</v>
      </c>
    </row>
    <row r="3" spans="1:4" x14ac:dyDescent="0.25">
      <c r="A3" t="s">
        <v>551</v>
      </c>
      <c r="D3" t="str">
        <f>IF(B3&gt;0.05,"OVERWEIGHT","NEUTRAL")</f>
        <v>NEUTRAL</v>
      </c>
    </row>
    <row r="4" spans="1:4" x14ac:dyDescent="0.25">
      <c r="A4" t="s">
        <v>552</v>
      </c>
      <c r="D4" t="str">
        <f>IF(B4&gt;0.05,"OVERWEIGHT","NEUTRAL")</f>
        <v>NEUTRAL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D5"/>
  <sheetViews>
    <sheetView workbookViewId="0"/>
  </sheetViews>
  <sheetFormatPr defaultRowHeight="15" x14ac:dyDescent="0.25"/>
  <sheetData>
    <row r="1" spans="1:4" x14ac:dyDescent="0.25">
      <c r="A1" s="1" t="s">
        <v>553</v>
      </c>
      <c r="B1" s="1" t="s">
        <v>554</v>
      </c>
      <c r="C1" s="1" t="s">
        <v>512</v>
      </c>
      <c r="D1" s="1" t="s">
        <v>513</v>
      </c>
    </row>
    <row r="2" spans="1:4" x14ac:dyDescent="0.25">
      <c r="A2" t="s">
        <v>555</v>
      </c>
      <c r="C2" t="e">
        <f>B2/SUM(B2:B5)</f>
        <v>#DIV/0!</v>
      </c>
      <c r="D2" t="e">
        <f>C2*500000</f>
        <v>#DIV/0!</v>
      </c>
    </row>
    <row r="3" spans="1:4" x14ac:dyDescent="0.25">
      <c r="A3" t="s">
        <v>556</v>
      </c>
      <c r="C3" t="e">
        <f>B3/SUM(B2:B5)</f>
        <v>#DIV/0!</v>
      </c>
      <c r="D3" t="e">
        <f>C3*500000</f>
        <v>#DIV/0!</v>
      </c>
    </row>
    <row r="4" spans="1:4" x14ac:dyDescent="0.25">
      <c r="A4" t="s">
        <v>557</v>
      </c>
      <c r="C4" t="e">
        <f>B4/SUM(B2:B5)</f>
        <v>#DIV/0!</v>
      </c>
      <c r="D4" t="e">
        <f>C4*500000</f>
        <v>#DIV/0!</v>
      </c>
    </row>
    <row r="5" spans="1:4" x14ac:dyDescent="0.25">
      <c r="A5" t="s">
        <v>558</v>
      </c>
      <c r="C5" t="e">
        <f>B5/SUM(B2:B5)</f>
        <v>#DIV/0!</v>
      </c>
      <c r="D5" t="e">
        <f>C5*500000</f>
        <v>#DIV/0!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D2"/>
  <sheetViews>
    <sheetView workbookViewId="0"/>
  </sheetViews>
  <sheetFormatPr defaultRowHeight="15" x14ac:dyDescent="0.25"/>
  <sheetData>
    <row r="1" spans="1:4" x14ac:dyDescent="0.25">
      <c r="A1" s="1" t="s">
        <v>559</v>
      </c>
      <c r="B1" s="1" t="s">
        <v>560</v>
      </c>
      <c r="C1" s="1" t="s">
        <v>561</v>
      </c>
      <c r="D1" s="1" t="s">
        <v>562</v>
      </c>
    </row>
    <row r="2" spans="1:4" x14ac:dyDescent="0.25">
      <c r="C2" t="e">
        <f>AVERAGE(A2:B2)</f>
        <v>#DIV/0!</v>
      </c>
      <c r="D2" t="e">
        <f>IF(C2&gt;0.6,"EXPANSION",IF(C2&lt;0.4,"CONTRACTION","NEUTRAL"))</f>
        <v>#DIV/0!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D2"/>
  <sheetViews>
    <sheetView workbookViewId="0"/>
  </sheetViews>
  <sheetFormatPr defaultRowHeight="15" x14ac:dyDescent="0.25"/>
  <sheetData>
    <row r="1" spans="1:4" x14ac:dyDescent="0.25">
      <c r="A1" s="1" t="s">
        <v>563</v>
      </c>
      <c r="B1" s="1" t="s">
        <v>564</v>
      </c>
      <c r="C1" s="1" t="s">
        <v>565</v>
      </c>
      <c r="D1" s="1" t="s">
        <v>496</v>
      </c>
    </row>
    <row r="2" spans="1:4" x14ac:dyDescent="0.25">
      <c r="C2" t="e">
        <f>AVERAGE(A2:B2)</f>
        <v>#DIV/0!</v>
      </c>
      <c r="D2" t="e">
        <f>IF(C2&gt;0.7,"HIGH_RISK",IF(C2&gt;0.4,"MEDIUM_RISK","LOW_RISK"))</f>
        <v>#DIV/0!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D2"/>
  <sheetViews>
    <sheetView workbookViewId="0"/>
  </sheetViews>
  <sheetFormatPr defaultRowHeight="15" x14ac:dyDescent="0.25"/>
  <sheetData>
    <row r="1" spans="1:4" x14ac:dyDescent="0.25">
      <c r="A1" s="1" t="s">
        <v>566</v>
      </c>
      <c r="B1" s="1" t="s">
        <v>567</v>
      </c>
      <c r="C1" s="1" t="s">
        <v>568</v>
      </c>
      <c r="D1" s="1" t="s">
        <v>569</v>
      </c>
    </row>
    <row r="2" spans="1:4" x14ac:dyDescent="0.25">
      <c r="C2">
        <f>ABS(A2)*B2</f>
        <v>0</v>
      </c>
      <c r="D2" t="str">
        <f>IF(C2&gt;0.1,"REDUCE_EXPOSURE","NORMAL")</f>
        <v>NORMAL</v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D2"/>
  <sheetViews>
    <sheetView workbookViewId="0"/>
  </sheetViews>
  <sheetFormatPr defaultRowHeight="15" x14ac:dyDescent="0.25"/>
  <sheetData>
    <row r="1" spans="1:4" x14ac:dyDescent="0.25">
      <c r="A1" s="1" t="s">
        <v>413</v>
      </c>
      <c r="B1" s="1" t="s">
        <v>570</v>
      </c>
      <c r="C1" s="1" t="s">
        <v>562</v>
      </c>
      <c r="D1" s="1" t="s">
        <v>571</v>
      </c>
    </row>
    <row r="2" spans="1:4" x14ac:dyDescent="0.25">
      <c r="D2" t="str">
        <f>IF(OR(A2&gt;0.15,B2="HIGH_RISK",C2="CONTRACTION"),"DEFENSIVE_MODE","NORMAL_MODE")</f>
        <v>NORMAL_MODE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D2"/>
  <sheetViews>
    <sheetView workbookViewId="0"/>
  </sheetViews>
  <sheetFormatPr defaultRowHeight="15" x14ac:dyDescent="0.25"/>
  <sheetData>
    <row r="1" spans="1:4" x14ac:dyDescent="0.25">
      <c r="A1" s="1" t="s">
        <v>572</v>
      </c>
      <c r="B1" s="1" t="s">
        <v>573</v>
      </c>
      <c r="C1" s="1" t="s">
        <v>574</v>
      </c>
      <c r="D1" s="1" t="s">
        <v>575</v>
      </c>
    </row>
    <row r="2" spans="1:4" x14ac:dyDescent="0.25">
      <c r="D2">
        <f>IF(AND(A2=B2,B2=C2),A2,"DIVERGENCE")</f>
        <v>0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D4"/>
  <sheetViews>
    <sheetView workbookViewId="0"/>
  </sheetViews>
  <sheetFormatPr defaultRowHeight="15" x14ac:dyDescent="0.25"/>
  <sheetData>
    <row r="1" spans="1:4" x14ac:dyDescent="0.25">
      <c r="A1" s="1" t="s">
        <v>576</v>
      </c>
      <c r="B1" s="1" t="s">
        <v>577</v>
      </c>
      <c r="C1" s="1" t="s">
        <v>578</v>
      </c>
      <c r="D1" s="1" t="s">
        <v>579</v>
      </c>
    </row>
    <row r="2" spans="1:4" x14ac:dyDescent="0.25">
      <c r="A2" t="s">
        <v>580</v>
      </c>
      <c r="B2">
        <v>-0.25</v>
      </c>
      <c r="C2">
        <v>2</v>
      </c>
      <c r="D2">
        <f>100000*(1+B2)</f>
        <v>75000</v>
      </c>
    </row>
    <row r="3" spans="1:4" x14ac:dyDescent="0.25">
      <c r="A3" t="s">
        <v>581</v>
      </c>
      <c r="B3">
        <v>-0.15</v>
      </c>
      <c r="C3">
        <v>1.5</v>
      </c>
      <c r="D3">
        <f>100000*(1+B3)</f>
        <v>85000</v>
      </c>
    </row>
    <row r="4" spans="1:4" x14ac:dyDescent="0.25">
      <c r="A4" t="s">
        <v>582</v>
      </c>
      <c r="B4">
        <v>-0.2</v>
      </c>
      <c r="C4">
        <v>1.8</v>
      </c>
      <c r="D4">
        <f>100000*(1+B4)</f>
        <v>80000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D2"/>
  <sheetViews>
    <sheetView workbookViewId="0"/>
  </sheetViews>
  <sheetFormatPr defaultRowHeight="15" x14ac:dyDescent="0.25"/>
  <sheetData>
    <row r="1" spans="1:4" x14ac:dyDescent="0.25">
      <c r="A1" s="1" t="s">
        <v>583</v>
      </c>
      <c r="B1" s="1" t="s">
        <v>584</v>
      </c>
      <c r="C1" s="1" t="s">
        <v>585</v>
      </c>
      <c r="D1" s="1" t="s">
        <v>586</v>
      </c>
    </row>
    <row r="2" spans="1:4" x14ac:dyDescent="0.25">
      <c r="A2" t="s">
        <v>550</v>
      </c>
      <c r="B2">
        <v>-0.2</v>
      </c>
      <c r="C2" t="e">
        <f>A2*B2</f>
        <v>#VALUE!</v>
      </c>
      <c r="D2" t="e">
        <f>IF(C2&lt;-0.1,"REDUCE","NORMAL")</f>
        <v>#VALUE!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D2"/>
  <sheetViews>
    <sheetView workbookViewId="0"/>
  </sheetViews>
  <sheetFormatPr defaultRowHeight="15" x14ac:dyDescent="0.25"/>
  <sheetData>
    <row r="1" spans="1:4" x14ac:dyDescent="0.25">
      <c r="A1" s="1" t="s">
        <v>570</v>
      </c>
      <c r="B1" s="1" t="s">
        <v>562</v>
      </c>
      <c r="C1" s="1" t="s">
        <v>587</v>
      </c>
      <c r="D1" s="1" t="s">
        <v>588</v>
      </c>
    </row>
    <row r="2" spans="1:4" x14ac:dyDescent="0.25">
      <c r="A2" t="s">
        <v>589</v>
      </c>
      <c r="B2" t="s">
        <v>590</v>
      </c>
      <c r="C2" t="str">
        <f>IF(AND(A2="HIGH_RISK",B2="CONTRACTION"),"ACTIVATE","NO")</f>
        <v>ACTIVATE</v>
      </c>
      <c r="D2">
        <f>IF(C2="ACTIVATE",0.5,1)</f>
        <v>0.5</v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D2"/>
  <sheetViews>
    <sheetView workbookViewId="0"/>
  </sheetViews>
  <sheetFormatPr defaultRowHeight="15" x14ac:dyDescent="0.25"/>
  <sheetData>
    <row r="1" spans="1:4" x14ac:dyDescent="0.25">
      <c r="A1" s="1" t="s">
        <v>562</v>
      </c>
      <c r="B1" s="1" t="s">
        <v>591</v>
      </c>
      <c r="C1" s="1" t="s">
        <v>592</v>
      </c>
      <c r="D1" s="1" t="s">
        <v>593</v>
      </c>
    </row>
    <row r="2" spans="1:4" x14ac:dyDescent="0.25">
      <c r="D2" t="str">
        <f>IF(AND(A2="EXPANSION",B2="LOW_RISK"),"RISK_ON",IF(AND(A2="CONTRACTION",B2="HIGH_RISK"),"RISK_OFF","TRANSITION"))</f>
        <v>TRANSITION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E2"/>
  <sheetViews>
    <sheetView workbookViewId="0"/>
  </sheetViews>
  <sheetFormatPr defaultRowHeight="15" x14ac:dyDescent="0.25"/>
  <sheetData>
    <row r="1" spans="1:5" x14ac:dyDescent="0.25">
      <c r="A1" s="1" t="s">
        <v>567</v>
      </c>
      <c r="B1" s="1" t="s">
        <v>594</v>
      </c>
      <c r="C1" s="1" t="s">
        <v>595</v>
      </c>
      <c r="D1" s="1" t="s">
        <v>596</v>
      </c>
      <c r="E1" s="1" t="s">
        <v>597</v>
      </c>
    </row>
    <row r="2" spans="1:5" x14ac:dyDescent="0.25">
      <c r="D2" t="e">
        <f>AVERAGE(A2:C2)</f>
        <v>#DIV/0!</v>
      </c>
      <c r="E2" t="e">
        <f>IF(D2&gt;0.7,"EXTREME",IF(D2&gt;0.4,"ELEVATED","STABLE"))</f>
        <v>#DIV/0!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D2"/>
  <sheetViews>
    <sheetView workbookViewId="0"/>
  </sheetViews>
  <sheetFormatPr defaultRowHeight="15" x14ac:dyDescent="0.25"/>
  <sheetData>
    <row r="1" spans="1:4" x14ac:dyDescent="0.25">
      <c r="A1" s="1" t="s">
        <v>598</v>
      </c>
      <c r="B1" s="1" t="s">
        <v>599</v>
      </c>
      <c r="C1" s="1" t="s">
        <v>600</v>
      </c>
      <c r="D1" s="1" t="s">
        <v>601</v>
      </c>
    </row>
    <row r="2" spans="1:4" x14ac:dyDescent="0.25">
      <c r="C2">
        <f>ABS(A2)*B2</f>
        <v>0</v>
      </c>
      <c r="D2" t="str">
        <f>IF(C2&gt;0.1,"VACUUM_RISK","NORMAL")</f>
        <v>NORMAL</v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E6"/>
  <sheetViews>
    <sheetView workbookViewId="0"/>
  </sheetViews>
  <sheetFormatPr defaultRowHeight="15" x14ac:dyDescent="0.25"/>
  <sheetData>
    <row r="1" spans="1:5" x14ac:dyDescent="0.25">
      <c r="A1" s="1" t="s">
        <v>602</v>
      </c>
      <c r="B1" s="1" t="s">
        <v>483</v>
      </c>
      <c r="C1" s="1" t="s">
        <v>603</v>
      </c>
      <c r="D1" s="1" t="s">
        <v>604</v>
      </c>
      <c r="E1" s="1" t="s">
        <v>441</v>
      </c>
    </row>
    <row r="2" spans="1:5" x14ac:dyDescent="0.25">
      <c r="A2" t="s">
        <v>550</v>
      </c>
      <c r="D2">
        <f>B2/(C2+0.0001)</f>
        <v>0</v>
      </c>
      <c r="E2" t="e">
        <f>D2/SUM(D2:D6)*1000000</f>
        <v>#DIV/0!</v>
      </c>
    </row>
    <row r="3" spans="1:5" x14ac:dyDescent="0.25">
      <c r="A3" t="s">
        <v>551</v>
      </c>
      <c r="D3">
        <f>B3/(C3+0.0001)</f>
        <v>0</v>
      </c>
      <c r="E3" t="e">
        <f>D3/SUM(D2:D6)*1000000</f>
        <v>#DIV/0!</v>
      </c>
    </row>
    <row r="4" spans="1:5" x14ac:dyDescent="0.25">
      <c r="A4" t="s">
        <v>552</v>
      </c>
      <c r="D4">
        <f>B4/(C4+0.0001)</f>
        <v>0</v>
      </c>
      <c r="E4" t="e">
        <f>D4/SUM(D2:D6)*1000000</f>
        <v>#DIV/0!</v>
      </c>
    </row>
    <row r="5" spans="1:5" x14ac:dyDescent="0.25">
      <c r="A5" t="s">
        <v>605</v>
      </c>
      <c r="D5">
        <f>B5/(C5+0.0001)</f>
        <v>0</v>
      </c>
      <c r="E5" t="e">
        <f>D5/SUM(D2:D6)*1000000</f>
        <v>#DIV/0!</v>
      </c>
    </row>
    <row r="6" spans="1:5" x14ac:dyDescent="0.25">
      <c r="A6" t="s">
        <v>606</v>
      </c>
      <c r="D6">
        <f>B6/(C6+0.0001)</f>
        <v>0</v>
      </c>
      <c r="E6" t="e">
        <f>D6/SUM(D2:D6)*1000000</f>
        <v>#DIV/0!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D7"/>
  <sheetViews>
    <sheetView workbookViewId="0"/>
  </sheetViews>
  <sheetFormatPr defaultRowHeight="15" x14ac:dyDescent="0.25"/>
  <sheetData>
    <row r="1" spans="1:4" x14ac:dyDescent="0.25">
      <c r="A1" s="1" t="s">
        <v>607</v>
      </c>
      <c r="B1" s="1" t="s">
        <v>511</v>
      </c>
      <c r="C1" s="1" t="s">
        <v>189</v>
      </c>
      <c r="D1" s="1" t="s">
        <v>608</v>
      </c>
    </row>
    <row r="2" spans="1:4" x14ac:dyDescent="0.25">
      <c r="A2" t="s">
        <v>609</v>
      </c>
      <c r="D2">
        <f>B2*C2</f>
        <v>0</v>
      </c>
    </row>
    <row r="3" spans="1:4" x14ac:dyDescent="0.25">
      <c r="A3" t="s">
        <v>610</v>
      </c>
      <c r="D3">
        <f>B3*C3</f>
        <v>0</v>
      </c>
    </row>
    <row r="4" spans="1:4" x14ac:dyDescent="0.25">
      <c r="A4" t="s">
        <v>611</v>
      </c>
      <c r="D4">
        <f>B4*C4</f>
        <v>0</v>
      </c>
    </row>
    <row r="5" spans="1:4" x14ac:dyDescent="0.25">
      <c r="A5" t="s">
        <v>612</v>
      </c>
      <c r="D5">
        <f>B5*C5</f>
        <v>0</v>
      </c>
    </row>
    <row r="6" spans="1:4" x14ac:dyDescent="0.25">
      <c r="A6" t="s">
        <v>613</v>
      </c>
      <c r="D6">
        <f>B6*C6</f>
        <v>0</v>
      </c>
    </row>
    <row r="7" spans="1:4" x14ac:dyDescent="0.25">
      <c r="A7" t="s">
        <v>614</v>
      </c>
      <c r="D7">
        <f>SUM(D2:D6)</f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D2"/>
  <sheetViews>
    <sheetView workbookViewId="0"/>
  </sheetViews>
  <sheetFormatPr defaultRowHeight="15" x14ac:dyDescent="0.25"/>
  <sheetData>
    <row r="1" spans="1:4" x14ac:dyDescent="0.25">
      <c r="A1" s="1" t="s">
        <v>615</v>
      </c>
      <c r="B1" s="1" t="s">
        <v>616</v>
      </c>
      <c r="C1" s="1" t="s">
        <v>617</v>
      </c>
      <c r="D1" s="1" t="s">
        <v>618</v>
      </c>
    </row>
    <row r="2" spans="1:4" x14ac:dyDescent="0.25">
      <c r="C2">
        <f>ABS(A2-B2)</f>
        <v>0</v>
      </c>
      <c r="D2">
        <f>IF(C2&gt;0.1,0.9,1.05)</f>
        <v>1.05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D2"/>
  <sheetViews>
    <sheetView workbookViewId="0">
      <selection activeCell="K10" sqref="K10"/>
    </sheetView>
  </sheetViews>
  <sheetFormatPr defaultRowHeight="15" x14ac:dyDescent="0.25"/>
  <sheetData>
    <row r="1" spans="1:4" x14ac:dyDescent="0.25">
      <c r="A1" s="1" t="s">
        <v>619</v>
      </c>
      <c r="B1" s="1" t="s">
        <v>597</v>
      </c>
      <c r="C1" s="1" t="s">
        <v>248</v>
      </c>
      <c r="D1" s="1" t="s">
        <v>620</v>
      </c>
    </row>
    <row r="2" spans="1:4" x14ac:dyDescent="0.25">
      <c r="D2">
        <f>IF(B2="EXTREME",C2*0.5,IF(B2="ELEVATED",C2*0.8,C2*(A2+0.5)))</f>
        <v>0</v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E2"/>
  <sheetViews>
    <sheetView workbookViewId="0"/>
  </sheetViews>
  <sheetFormatPr defaultRowHeight="15" x14ac:dyDescent="0.25"/>
  <sheetData>
    <row r="1" spans="1:5" x14ac:dyDescent="0.25">
      <c r="A1" s="1" t="s">
        <v>494</v>
      </c>
      <c r="B1" s="1" t="s">
        <v>619</v>
      </c>
      <c r="C1" s="1" t="s">
        <v>621</v>
      </c>
      <c r="D1" s="1" t="s">
        <v>497</v>
      </c>
      <c r="E1" s="1" t="s">
        <v>622</v>
      </c>
    </row>
    <row r="2" spans="1:5" x14ac:dyDescent="0.25">
      <c r="A2">
        <v>1</v>
      </c>
      <c r="E2" t="str">
        <f>IF(D2&gt;0,"REINFORCE","RECALIBRATE")</f>
        <v>RECALIBRATE</v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B6"/>
  <sheetViews>
    <sheetView workbookViewId="0"/>
  </sheetViews>
  <sheetFormatPr defaultRowHeight="15" x14ac:dyDescent="0.25"/>
  <sheetData>
    <row r="1" spans="1:2" x14ac:dyDescent="0.25">
      <c r="A1" s="1" t="s">
        <v>388</v>
      </c>
      <c r="B1" s="1" t="s">
        <v>514</v>
      </c>
    </row>
    <row r="2" spans="1:2" x14ac:dyDescent="0.25">
      <c r="A2" t="s">
        <v>623</v>
      </c>
    </row>
    <row r="3" spans="1:2" x14ac:dyDescent="0.25">
      <c r="A3" t="s">
        <v>624</v>
      </c>
    </row>
    <row r="4" spans="1:2" x14ac:dyDescent="0.25">
      <c r="A4" t="s">
        <v>571</v>
      </c>
    </row>
    <row r="5" spans="1:2" x14ac:dyDescent="0.25">
      <c r="A5" t="s">
        <v>625</v>
      </c>
    </row>
    <row r="6" spans="1:2" x14ac:dyDescent="0.25">
      <c r="A6" t="s">
        <v>626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D2"/>
  <sheetViews>
    <sheetView workbookViewId="0"/>
  </sheetViews>
  <sheetFormatPr defaultRowHeight="15" x14ac:dyDescent="0.25"/>
  <sheetData>
    <row r="1" spans="1:4" x14ac:dyDescent="0.25">
      <c r="A1" s="1" t="s">
        <v>562</v>
      </c>
      <c r="B1" s="1" t="s">
        <v>570</v>
      </c>
      <c r="C1" s="1" t="s">
        <v>627</v>
      </c>
      <c r="D1" s="1" t="s">
        <v>628</v>
      </c>
    </row>
    <row r="2" spans="1:4" x14ac:dyDescent="0.25">
      <c r="D2" t="str">
        <f>IF(OR(A2="CONTRACTION",B2="HIGH_RISK",C2="REDUCE_EXPOSURE"),"BLOCK","ALLOW")</f>
        <v>ALLOW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E6"/>
  <sheetViews>
    <sheetView tabSelected="1" workbookViewId="0">
      <selection activeCell="G6" sqref="G6"/>
    </sheetView>
  </sheetViews>
  <sheetFormatPr defaultRowHeight="15" x14ac:dyDescent="0.25"/>
  <cols>
    <col min="5" max="5" width="17.140625" customWidth="1"/>
  </cols>
  <sheetData>
    <row r="1" spans="1:5" x14ac:dyDescent="0.25">
      <c r="A1" s="1" t="s">
        <v>499</v>
      </c>
      <c r="B1" s="1" t="s">
        <v>503</v>
      </c>
      <c r="C1" s="1" t="s">
        <v>509</v>
      </c>
      <c r="D1" s="1" t="s">
        <v>629</v>
      </c>
      <c r="E1" t="s">
        <v>630</v>
      </c>
    </row>
    <row r="2" spans="1:5" x14ac:dyDescent="0.25">
      <c r="A2" t="s">
        <v>504</v>
      </c>
      <c r="B2">
        <f>AI_MASTER_LIVE_DECISION!B2</f>
        <v>0</v>
      </c>
      <c r="C2">
        <f>RANK(B2,$B$2:$B$6,0)</f>
        <v>1</v>
      </c>
      <c r="D2" t="str">
        <f>IF(C2&lt;=2,"YES","NO")</f>
        <v>YES</v>
      </c>
      <c r="E2" t="str">
        <f>IF(OR(D2="YES", C2&gt;=1),"YES","NO")</f>
        <v>YES</v>
      </c>
    </row>
    <row r="3" spans="1:5" x14ac:dyDescent="0.25">
      <c r="A3" t="s">
        <v>505</v>
      </c>
      <c r="B3">
        <f>AI_MASTER_LIVE_DECISION!B2*0.999</f>
        <v>0</v>
      </c>
      <c r="C3">
        <f>RANK(B3,$B$2:$B$6,0)</f>
        <v>1</v>
      </c>
      <c r="D3" t="str">
        <f>IF(C3&lt;=2,"YES","NO")</f>
        <v>YES</v>
      </c>
      <c r="E3" t="str">
        <f>IF(OR(D3="YES", C3&gt;=1),"YES","NO")</f>
        <v>YES</v>
      </c>
    </row>
    <row r="4" spans="1:5" x14ac:dyDescent="0.25">
      <c r="A4" t="s">
        <v>506</v>
      </c>
      <c r="B4">
        <f>AI_MASTER_LIVE_DECISION!B2*0.998</f>
        <v>0</v>
      </c>
      <c r="C4">
        <f>RANK(B4,$B$2:$B$6,0)</f>
        <v>1</v>
      </c>
      <c r="D4" t="str">
        <f>IF(C4&lt;=2,"YES","NO")</f>
        <v>YES</v>
      </c>
      <c r="E4" t="str">
        <f>IF(OR(D4="YES", C4&gt;=1),"YES","NO")</f>
        <v>YES</v>
      </c>
    </row>
    <row r="5" spans="1:5" x14ac:dyDescent="0.25">
      <c r="A5" t="s">
        <v>507</v>
      </c>
      <c r="B5">
        <f>AI_MASTER_LIVE_DECISION!B2*0.997</f>
        <v>0</v>
      </c>
      <c r="C5">
        <f>RANK(B5,$B$2:$B$6,0)</f>
        <v>1</v>
      </c>
      <c r="D5" t="str">
        <f>IF(C5&lt;=2,"YES","NO")</f>
        <v>YES</v>
      </c>
      <c r="E5" t="str">
        <f>IF(OR(D5="YES", C5&gt;=1),"YES","NO")</f>
        <v>YES</v>
      </c>
    </row>
    <row r="6" spans="1:5" x14ac:dyDescent="0.25">
      <c r="A6" t="s">
        <v>508</v>
      </c>
      <c r="B6">
        <f>AI_MASTER_LIVE_DECISION!B2*0.996</f>
        <v>0</v>
      </c>
      <c r="C6">
        <f>RANK(B6,$B$2:$B$6,0)</f>
        <v>1</v>
      </c>
      <c r="D6" t="str">
        <f>IF(C6&lt;=2,"YES","NO")</f>
        <v>YES</v>
      </c>
      <c r="E6" t="str">
        <f>IF(OR(D6="YES", C6&gt;=1),"YES","NO")</f>
        <v>YES</v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F6"/>
  <sheetViews>
    <sheetView workbookViewId="0"/>
  </sheetViews>
  <sheetFormatPr defaultRowHeight="15" x14ac:dyDescent="0.25"/>
  <sheetData>
    <row r="1" spans="1:6" x14ac:dyDescent="0.25">
      <c r="A1" s="1" t="s">
        <v>619</v>
      </c>
      <c r="B1" s="1" t="s">
        <v>631</v>
      </c>
      <c r="C1" s="1" t="s">
        <v>630</v>
      </c>
      <c r="D1" s="1" t="s">
        <v>632</v>
      </c>
      <c r="E1" t="s">
        <v>633</v>
      </c>
      <c r="F1" t="s">
        <v>634</v>
      </c>
    </row>
    <row r="2" spans="1:6" x14ac:dyDescent="0.25">
      <c r="C2" t="str">
        <f>IF(LIVE_STRATEGY_SELECTOR!E2="YES","YES","NO")</f>
        <v>YES</v>
      </c>
      <c r="D2" t="str">
        <f>IF(AND(B2="ALLOW",C2="YES",A2&gt;0.52),"EXECUTE","STAND_BY")</f>
        <v>STAND_BY</v>
      </c>
      <c r="E2" t="e">
        <f ca="1">_xludf.XLOOKUP("AI_CONFIDENCE_BUY_MIN",CONFIG_CORE!A:A,CONFIG_CORE!B:B)+IF(VOLATILITY_REGIME!D2="LOW",_xludf.XLOOKUP("ADAPTIVE_CONF_LOW_VOL_DELTA",CONFIG_CORE!A:A,CONFIG_CORE!B:B),IF(VOLATILITY_REGIME!D2="HIGH",_xludf.XLOOKUP("ADAPTIVE_CONF_HIGH_VOL_DELTA",CONFIG_CORE!A:A,CONFIG_CORE!B:B),0))</f>
        <v>#NAME?</v>
      </c>
      <c r="F2" t="e">
        <f ca="1">IF(VOLATILITY_REGIME!C2&gt;=_xludf.XLOOKUP("MIN_VOL_FOR_AGGRESSION",CONFIG_CORE!A:A,CONFIG_CORE!B:B),_xludf.XLOOKUP("AGGRESSION_SIZE_BOOST",CONFIG_CORE!A:A,CONFIG_CORE!B:B),1)</f>
        <v>#NAME?</v>
      </c>
    </row>
    <row r="3" spans="1:6" x14ac:dyDescent="0.25">
      <c r="C3" t="str">
        <f>IF(LIVE_STRATEGY_SELECTOR!E3="YES","YES","NO")</f>
        <v>YES</v>
      </c>
      <c r="D3" t="str">
        <f>IF(AND(B3="ALLOW",C3="YES",A3&gt;0.52),"EXECUTE","STAND_BY")</f>
        <v>STAND_BY</v>
      </c>
    </row>
    <row r="4" spans="1:6" x14ac:dyDescent="0.25">
      <c r="C4" t="str">
        <f>IF(LIVE_STRATEGY_SELECTOR!E4="YES","YES","NO")</f>
        <v>YES</v>
      </c>
      <c r="D4" t="str">
        <f>IF(AND(B4="ALLOW",C4="YES",A4&gt;0.52),"EXECUTE","STAND_BY")</f>
        <v>STAND_BY</v>
      </c>
    </row>
    <row r="5" spans="1:6" x14ac:dyDescent="0.25">
      <c r="C5" t="str">
        <f>IF(LIVE_STRATEGY_SELECTOR!E5="YES","YES","NO")</f>
        <v>YES</v>
      </c>
      <c r="D5" t="str">
        <f>IF(AND(B5="ALLOW",C5="YES",A5&gt;0.52),"EXECUTE","STAND_BY")</f>
        <v>STAND_BY</v>
      </c>
    </row>
    <row r="6" spans="1:6" x14ac:dyDescent="0.25">
      <c r="C6" t="str">
        <f>IF(LIVE_STRATEGY_SELECTOR!E6="YES","YES","NO")</f>
        <v>YES</v>
      </c>
      <c r="D6" t="str">
        <f>IF(AND(B6="ALLOW",C6="YES",A6&gt;0.52),"EXECUTE","STAND_BY")</f>
        <v>STAND_BY</v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C24"/>
  <sheetViews>
    <sheetView workbookViewId="0"/>
  </sheetViews>
  <sheetFormatPr defaultRowHeight="15" x14ac:dyDescent="0.25"/>
  <sheetData>
    <row r="1" spans="1:3" x14ac:dyDescent="0.25">
      <c r="A1" t="s">
        <v>635</v>
      </c>
      <c r="B1" t="s">
        <v>514</v>
      </c>
      <c r="C1" t="s">
        <v>636</v>
      </c>
    </row>
    <row r="2" spans="1:3" x14ac:dyDescent="0.25">
      <c r="A2" t="s">
        <v>314</v>
      </c>
      <c r="B2">
        <v>1.2E-2</v>
      </c>
      <c r="C2" t="s">
        <v>637</v>
      </c>
    </row>
    <row r="3" spans="1:3" x14ac:dyDescent="0.25">
      <c r="A3" t="s">
        <v>638</v>
      </c>
      <c r="B3">
        <v>0.02</v>
      </c>
      <c r="C3" t="s">
        <v>639</v>
      </c>
    </row>
    <row r="4" spans="1:3" x14ac:dyDescent="0.25">
      <c r="A4" t="s">
        <v>640</v>
      </c>
      <c r="B4">
        <v>0.25</v>
      </c>
      <c r="C4" t="s">
        <v>641</v>
      </c>
    </row>
    <row r="5" spans="1:3" x14ac:dyDescent="0.25">
      <c r="A5" t="s">
        <v>642</v>
      </c>
      <c r="B5">
        <v>5</v>
      </c>
      <c r="C5" t="s">
        <v>643</v>
      </c>
    </row>
    <row r="6" spans="1:3" x14ac:dyDescent="0.25">
      <c r="A6" t="s">
        <v>644</v>
      </c>
      <c r="B6">
        <v>2</v>
      </c>
      <c r="C6" t="s">
        <v>645</v>
      </c>
    </row>
    <row r="7" spans="1:3" x14ac:dyDescent="0.25">
      <c r="A7" t="s">
        <v>646</v>
      </c>
      <c r="B7">
        <v>0.54</v>
      </c>
    </row>
    <row r="8" spans="1:3" x14ac:dyDescent="0.25">
      <c r="A8" t="s">
        <v>647</v>
      </c>
      <c r="B8">
        <v>0.66</v>
      </c>
    </row>
    <row r="9" spans="1:3" x14ac:dyDescent="0.25">
      <c r="A9" t="s">
        <v>648</v>
      </c>
      <c r="B9">
        <v>0.72</v>
      </c>
    </row>
    <row r="10" spans="1:3" x14ac:dyDescent="0.25">
      <c r="A10" t="s">
        <v>649</v>
      </c>
      <c r="B10">
        <v>0.52</v>
      </c>
    </row>
    <row r="11" spans="1:3" x14ac:dyDescent="0.25">
      <c r="A11" t="s">
        <v>650</v>
      </c>
      <c r="B11" t="s">
        <v>651</v>
      </c>
    </row>
    <row r="12" spans="1:3" x14ac:dyDescent="0.25">
      <c r="A12" t="s">
        <v>652</v>
      </c>
      <c r="B12">
        <v>0</v>
      </c>
    </row>
    <row r="13" spans="1:3" x14ac:dyDescent="0.25">
      <c r="A13" t="s">
        <v>653</v>
      </c>
      <c r="B13" t="s">
        <v>539</v>
      </c>
    </row>
    <row r="14" spans="1:3" x14ac:dyDescent="0.25">
      <c r="A14" t="s">
        <v>654</v>
      </c>
      <c r="B14" t="b">
        <v>1</v>
      </c>
      <c r="C14" t="s">
        <v>655</v>
      </c>
    </row>
    <row r="15" spans="1:3" x14ac:dyDescent="0.25">
      <c r="A15" t="s">
        <v>656</v>
      </c>
      <c r="B15" t="s">
        <v>657</v>
      </c>
      <c r="C15" t="s">
        <v>658</v>
      </c>
    </row>
    <row r="16" spans="1:3" x14ac:dyDescent="0.25">
      <c r="A16" t="s">
        <v>659</v>
      </c>
      <c r="B16">
        <v>0.5</v>
      </c>
      <c r="C16" t="s">
        <v>660</v>
      </c>
    </row>
    <row r="17" spans="1:3" x14ac:dyDescent="0.25">
      <c r="A17" t="s">
        <v>661</v>
      </c>
      <c r="B17">
        <v>0.8</v>
      </c>
      <c r="C17" t="s">
        <v>662</v>
      </c>
    </row>
    <row r="18" spans="1:3" x14ac:dyDescent="0.25">
      <c r="A18" t="s">
        <v>663</v>
      </c>
      <c r="B18" t="b">
        <v>1</v>
      </c>
      <c r="C18" t="s">
        <v>664</v>
      </c>
    </row>
    <row r="19" spans="1:3" x14ac:dyDescent="0.25">
      <c r="A19" t="s">
        <v>665</v>
      </c>
      <c r="B19">
        <v>0.45</v>
      </c>
      <c r="C19" t="s">
        <v>666</v>
      </c>
    </row>
    <row r="20" spans="1:3" x14ac:dyDescent="0.25">
      <c r="A20" t="s">
        <v>667</v>
      </c>
      <c r="B20">
        <v>1.1499999999999999</v>
      </c>
      <c r="C20" t="s">
        <v>668</v>
      </c>
    </row>
    <row r="21" spans="1:3" x14ac:dyDescent="0.25">
      <c r="A21" t="s">
        <v>669</v>
      </c>
      <c r="B21">
        <v>-5.0000000000000001E-3</v>
      </c>
      <c r="C21" t="s">
        <v>670</v>
      </c>
    </row>
    <row r="22" spans="1:3" x14ac:dyDescent="0.25">
      <c r="A22" t="s">
        <v>671</v>
      </c>
      <c r="B22">
        <v>4.0000000000000001E-3</v>
      </c>
      <c r="C22" t="s">
        <v>672</v>
      </c>
    </row>
    <row r="23" spans="1:3" x14ac:dyDescent="0.25">
      <c r="A23" t="s">
        <v>673</v>
      </c>
      <c r="B23">
        <v>0.1</v>
      </c>
      <c r="C23" t="s">
        <v>674</v>
      </c>
    </row>
    <row r="24" spans="1:3" x14ac:dyDescent="0.25">
      <c r="A24" t="s">
        <v>675</v>
      </c>
      <c r="B24">
        <v>1.1499999999999999</v>
      </c>
      <c r="C24" t="s">
        <v>676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B7"/>
  <sheetViews>
    <sheetView workbookViewId="0"/>
  </sheetViews>
  <sheetFormatPr defaultRowHeight="15" x14ac:dyDescent="0.25"/>
  <sheetData>
    <row r="1" spans="1:2" x14ac:dyDescent="0.25">
      <c r="A1" t="s">
        <v>635</v>
      </c>
      <c r="B1" t="s">
        <v>514</v>
      </c>
    </row>
    <row r="2" spans="1:2" x14ac:dyDescent="0.25">
      <c r="A2" t="s">
        <v>677</v>
      </c>
      <c r="B2" t="s">
        <v>678</v>
      </c>
    </row>
    <row r="3" spans="1:2" x14ac:dyDescent="0.25">
      <c r="A3" t="s">
        <v>679</v>
      </c>
      <c r="B3">
        <v>14</v>
      </c>
    </row>
    <row r="4" spans="1:2" x14ac:dyDescent="0.25">
      <c r="A4" t="s">
        <v>680</v>
      </c>
      <c r="B4">
        <v>1.8</v>
      </c>
    </row>
    <row r="5" spans="1:2" x14ac:dyDescent="0.25">
      <c r="A5" t="s">
        <v>681</v>
      </c>
      <c r="B5">
        <v>20</v>
      </c>
    </row>
    <row r="6" spans="1:2" x14ac:dyDescent="0.25">
      <c r="A6" t="s">
        <v>682</v>
      </c>
      <c r="B6" t="s">
        <v>539</v>
      </c>
    </row>
    <row r="7" spans="1:2" x14ac:dyDescent="0.25">
      <c r="A7" t="s">
        <v>683</v>
      </c>
      <c r="B7">
        <f>IFERROR(MAX(ATR_VALUE*ATR_MULTIPLIER,STRUCTURE_STOP_DISTANCE,VWAP_INVALIDATION_DISTANCE),0)</f>
        <v>0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B7"/>
  <sheetViews>
    <sheetView workbookViewId="0"/>
  </sheetViews>
  <sheetFormatPr defaultRowHeight="15" x14ac:dyDescent="0.25"/>
  <sheetData>
    <row r="1" spans="1:2" x14ac:dyDescent="0.25">
      <c r="A1" t="s">
        <v>635</v>
      </c>
      <c r="B1" t="s">
        <v>514</v>
      </c>
    </row>
    <row r="2" spans="1:2" x14ac:dyDescent="0.25">
      <c r="A2" t="s">
        <v>684</v>
      </c>
      <c r="B2" t="s">
        <v>685</v>
      </c>
    </row>
    <row r="3" spans="1:2" x14ac:dyDescent="0.25">
      <c r="A3" t="s">
        <v>686</v>
      </c>
      <c r="B3">
        <v>1.2E-2</v>
      </c>
    </row>
    <row r="4" spans="1:2" x14ac:dyDescent="0.25">
      <c r="A4" t="s">
        <v>687</v>
      </c>
      <c r="B4" t="s">
        <v>539</v>
      </c>
    </row>
    <row r="5" spans="1:2" x14ac:dyDescent="0.25">
      <c r="A5" t="s">
        <v>688</v>
      </c>
      <c r="B5" t="s">
        <v>539</v>
      </c>
    </row>
    <row r="6" spans="1:2" x14ac:dyDescent="0.25">
      <c r="A6" t="s">
        <v>689</v>
      </c>
      <c r="B6">
        <f>IFERROR((Account_Equity*RISK_PER_TRADE)/Stop_Distance,0)</f>
        <v>0</v>
      </c>
    </row>
    <row r="7" spans="1:2" x14ac:dyDescent="0.25">
      <c r="A7" t="s">
        <v>690</v>
      </c>
      <c r="B7" t="e">
        <f>MIN(Calculated_Position,Account_Equity*MAX_POSITION_CAP)</f>
        <v>#NAME?</v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B9"/>
  <sheetViews>
    <sheetView workbookViewId="0"/>
  </sheetViews>
  <sheetFormatPr defaultRowHeight="15" x14ac:dyDescent="0.25"/>
  <sheetData>
    <row r="1" spans="1:2" x14ac:dyDescent="0.25">
      <c r="A1" t="s">
        <v>635</v>
      </c>
      <c r="B1" t="s">
        <v>514</v>
      </c>
    </row>
    <row r="2" spans="1:2" x14ac:dyDescent="0.25">
      <c r="A2" t="s">
        <v>691</v>
      </c>
      <c r="B2" t="s">
        <v>692</v>
      </c>
    </row>
    <row r="3" spans="1:2" x14ac:dyDescent="0.25">
      <c r="A3" t="s">
        <v>693</v>
      </c>
      <c r="B3">
        <v>1.7</v>
      </c>
    </row>
    <row r="4" spans="1:2" x14ac:dyDescent="0.25">
      <c r="A4" t="s">
        <v>694</v>
      </c>
      <c r="B4">
        <v>1</v>
      </c>
    </row>
    <row r="5" spans="1:2" x14ac:dyDescent="0.25">
      <c r="A5" t="s">
        <v>695</v>
      </c>
      <c r="B5">
        <v>1.8</v>
      </c>
    </row>
    <row r="6" spans="1:2" x14ac:dyDescent="0.25">
      <c r="A6" t="s">
        <v>696</v>
      </c>
      <c r="B6" t="s">
        <v>697</v>
      </c>
    </row>
    <row r="7" spans="1:2" x14ac:dyDescent="0.25">
      <c r="A7" t="s">
        <v>698</v>
      </c>
      <c r="B7">
        <v>0.3</v>
      </c>
    </row>
    <row r="8" spans="1:2" x14ac:dyDescent="0.25">
      <c r="A8" t="s">
        <v>699</v>
      </c>
      <c r="B8">
        <v>0.4</v>
      </c>
    </row>
    <row r="9" spans="1:2" x14ac:dyDescent="0.25">
      <c r="A9" t="s">
        <v>700</v>
      </c>
      <c r="B9">
        <v>0.3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B7"/>
  <sheetViews>
    <sheetView workbookViewId="0"/>
  </sheetViews>
  <sheetFormatPr defaultRowHeight="15" x14ac:dyDescent="0.25"/>
  <sheetData>
    <row r="1" spans="1:2" x14ac:dyDescent="0.25">
      <c r="A1" t="s">
        <v>635</v>
      </c>
      <c r="B1" t="s">
        <v>514</v>
      </c>
    </row>
    <row r="2" spans="1:2" x14ac:dyDescent="0.25">
      <c r="A2" t="s">
        <v>701</v>
      </c>
      <c r="B2">
        <v>-0.04</v>
      </c>
    </row>
    <row r="3" spans="1:2" x14ac:dyDescent="0.25">
      <c r="A3" t="s">
        <v>702</v>
      </c>
      <c r="B3">
        <v>-0.12</v>
      </c>
    </row>
    <row r="4" spans="1:2" x14ac:dyDescent="0.25">
      <c r="A4" t="s">
        <v>703</v>
      </c>
      <c r="B4">
        <v>4</v>
      </c>
    </row>
    <row r="5" spans="1:2" x14ac:dyDescent="0.25">
      <c r="A5" t="s">
        <v>704</v>
      </c>
      <c r="B5">
        <v>45</v>
      </c>
    </row>
    <row r="6" spans="1:2" x14ac:dyDescent="0.25">
      <c r="A6" t="s">
        <v>705</v>
      </c>
      <c r="B6" t="e">
        <f>IF(Daily_Return&lt;=DAILY_DD_STOP,"PAUSE","OK")</f>
        <v>#NAME?</v>
      </c>
    </row>
    <row r="7" spans="1:2" x14ac:dyDescent="0.25">
      <c r="A7" t="s">
        <v>706</v>
      </c>
      <c r="B7" t="e">
        <f>IF(Consecutive_Losses&gt;=MAX_CONSECUTIVE_LOSSES,"PAUSE","OK")</f>
        <v>#NAME?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B3"/>
  <sheetViews>
    <sheetView workbookViewId="0"/>
  </sheetViews>
  <sheetFormatPr defaultRowHeight="15" x14ac:dyDescent="0.25"/>
  <sheetData>
    <row r="1" spans="1:2" x14ac:dyDescent="0.25">
      <c r="A1" t="s">
        <v>635</v>
      </c>
      <c r="B1" t="s">
        <v>707</v>
      </c>
    </row>
    <row r="2" spans="1:2" x14ac:dyDescent="0.25">
      <c r="A2" t="s">
        <v>708</v>
      </c>
      <c r="B2" t="e">
        <f>AND(AI_SCORE&gt;=AI_CONFIDENCE_BUY_MIN,TREND_SCORE&gt;=TREND_SCORE_MIN,VOL_STATE&lt;&gt;"LOW",VOLUME_Z&gt;=VOLUME_ZSCORE_MIN,PRICE_VS_VWAP="FAVORABLE",DAILY_KILL&lt;&gt;"PAUSE",LOSS_GUARD&lt;&gt;"PAUSE")</f>
        <v>#NAME?</v>
      </c>
    </row>
    <row r="3" spans="1:2" x14ac:dyDescent="0.25">
      <c r="A3" t="s">
        <v>709</v>
      </c>
      <c r="B3" t="e">
        <f>AND(AI_SCORE&gt;=AI_CONFIDENCE_SELL_MIN,STRUCTURE_OK=TRUE,PRICE_BELOW_VWAP=TRUE)</f>
        <v>#NAME?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C7"/>
  <sheetViews>
    <sheetView workbookViewId="0"/>
  </sheetViews>
  <sheetFormatPr defaultRowHeight="15" x14ac:dyDescent="0.25"/>
  <sheetData>
    <row r="1" spans="1:3" x14ac:dyDescent="0.25">
      <c r="A1" t="s">
        <v>710</v>
      </c>
      <c r="B1" t="s">
        <v>711</v>
      </c>
      <c r="C1" t="s">
        <v>712</v>
      </c>
    </row>
    <row r="2" spans="1:3" x14ac:dyDescent="0.25">
      <c r="A2" t="s">
        <v>314</v>
      </c>
      <c r="B2" t="s">
        <v>713</v>
      </c>
      <c r="C2">
        <f>VLOOKUP(A2,CONFIG_CORE!A:B,2,FALSE)</f>
        <v>1.2E-2</v>
      </c>
    </row>
    <row r="3" spans="1:3" x14ac:dyDescent="0.25">
      <c r="A3" t="s">
        <v>638</v>
      </c>
      <c r="B3" t="s">
        <v>713</v>
      </c>
      <c r="C3">
        <f>VLOOKUP(A3,CONFIG_CORE!A:B,2,FALSE)</f>
        <v>0.02</v>
      </c>
    </row>
    <row r="4" spans="1:3" x14ac:dyDescent="0.25">
      <c r="A4" t="s">
        <v>640</v>
      </c>
      <c r="B4" t="s">
        <v>713</v>
      </c>
      <c r="C4">
        <f>VLOOKUP(A4,CONFIG_CORE!A:B,2,FALSE)</f>
        <v>0.25</v>
      </c>
    </row>
    <row r="5" spans="1:3" x14ac:dyDescent="0.25">
      <c r="A5" t="s">
        <v>642</v>
      </c>
      <c r="B5" t="s">
        <v>713</v>
      </c>
      <c r="C5">
        <f>VLOOKUP(A5,CONFIG_CORE!A:B,2,FALSE)</f>
        <v>5</v>
      </c>
    </row>
    <row r="6" spans="1:3" x14ac:dyDescent="0.25">
      <c r="A6" t="s">
        <v>646</v>
      </c>
      <c r="B6" t="s">
        <v>713</v>
      </c>
      <c r="C6">
        <f>VLOOKUP(A6,CONFIG_CORE!A:B,2,FALSE)</f>
        <v>0.54</v>
      </c>
    </row>
    <row r="7" spans="1:3" x14ac:dyDescent="0.25">
      <c r="A7" t="s">
        <v>647</v>
      </c>
      <c r="B7" t="s">
        <v>713</v>
      </c>
      <c r="C7">
        <f>VLOOKUP(A7,CONFIG_CORE!A:B,2,FALSE)</f>
        <v>0.66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C5"/>
  <sheetViews>
    <sheetView workbookViewId="0"/>
  </sheetViews>
  <sheetFormatPr defaultRowHeight="15" x14ac:dyDescent="0.25"/>
  <sheetData>
    <row r="1" spans="1:3" x14ac:dyDescent="0.25">
      <c r="A1" t="s">
        <v>714</v>
      </c>
      <c r="B1" t="s">
        <v>715</v>
      </c>
      <c r="C1" t="s">
        <v>716</v>
      </c>
    </row>
    <row r="2" spans="1:3" x14ac:dyDescent="0.25">
      <c r="A2" t="s">
        <v>717</v>
      </c>
      <c r="B2" t="str">
        <f>IF(AI_MASTER_LIVE_DECISION!A2&gt;=0.5,"PASS","BLOCK")</f>
        <v>BLOCK</v>
      </c>
    </row>
    <row r="3" spans="1:3" x14ac:dyDescent="0.25">
      <c r="A3" t="s">
        <v>718</v>
      </c>
      <c r="B3" t="e">
        <f>IF([14]EXECUTION_REALITY!E2="OK","PASS","BLOCK")</f>
        <v>#REF!</v>
      </c>
    </row>
    <row r="4" spans="1:3" x14ac:dyDescent="0.25">
      <c r="A4" t="s">
        <v>719</v>
      </c>
      <c r="B4" t="str">
        <f>IF(COUNTIF(LIVE_STRATEGY_SELECTOR!D2:D6,"YES")&gt;0,"PASS","BLOCK")</f>
        <v>PASS</v>
      </c>
    </row>
    <row r="5" spans="1:3" x14ac:dyDescent="0.25">
      <c r="A5" t="s">
        <v>720</v>
      </c>
      <c r="B5" t="e">
        <f>IF(AND(B2="PASS",B3="PASS",B4="PASS"),"READY","WAIT")</f>
        <v>#REF!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70</vt:i4>
      </vt:variant>
    </vt:vector>
  </HeadingPairs>
  <TitlesOfParts>
    <vt:vector size="70" baseType="lpstr">
      <vt:lpstr>FORENSIC_LOGIC_MATRIX</vt:lpstr>
      <vt:lpstr>SELL_LOGIC_EVOLUTION</vt:lpstr>
      <vt:lpstr>WEIGHT_THRESHOLD_MATRIX</vt:lpstr>
      <vt:lpstr>CONFLICT_OVERRIDE</vt:lpstr>
      <vt:lpstr>UNIFIED_MASTER_ENGINE</vt:lpstr>
      <vt:lpstr>BACKTEST_SIMULATION</vt:lpstr>
      <vt:lpstr>MONTE_CARLO_SIM</vt:lpstr>
      <vt:lpstr>VOLATILITY_REGIME</vt:lpstr>
      <vt:lpstr>EQUITY_ADAPTIVE_SCALING</vt:lpstr>
      <vt:lpstr>TRADE_CLUSTER_PROTECTION</vt:lpstr>
      <vt:lpstr>AUTO_WEIGHT_ADJUSTER</vt:lpstr>
      <vt:lpstr>MONTE_CARLO_1000</vt:lpstr>
      <vt:lpstr>DYNAMIC_WEIGHT_SWITCH</vt:lpstr>
      <vt:lpstr>EQUITY_SLOPE_DETECTOR</vt:lpstr>
      <vt:lpstr>CORRELATION_FILTER</vt:lpstr>
      <vt:lpstr>PORTFOLIO_ALLOCATOR</vt:lpstr>
      <vt:lpstr>PATH_MONTE_CARLO</vt:lpstr>
      <vt:lpstr>KELLY_ADAPTIVE</vt:lpstr>
      <vt:lpstr>REGIME_PROB_MATRIX</vt:lpstr>
      <vt:lpstr>BAYESIAN_WEIGHT_UPDATE</vt:lpstr>
      <vt:lpstr>HMM_REGIME_MODEL</vt:lpstr>
      <vt:lpstr>DRAWDOWN_PHASE_DETECTOR</vt:lpstr>
      <vt:lpstr>VOL_OF_VOL_FILTER</vt:lpstr>
      <vt:lpstr>CAPITAL_VELOCITY_OPTIMIZER</vt:lpstr>
      <vt:lpstr>SELF_LEARNING_ENGINE</vt:lpstr>
      <vt:lpstr>AUTONOMOUS_REALLOCATOR</vt:lpstr>
      <vt:lpstr>ADAPTIVE_RISK_LOOP</vt:lpstr>
      <vt:lpstr>SYSTEM_EVOLUTION_TRACKER</vt:lpstr>
      <vt:lpstr>FUND_SIM_GRID</vt:lpstr>
      <vt:lpstr>PARALLEL_BACKTEST_MATRIX</vt:lpstr>
      <vt:lpstr>SURVIVAL_SELECTION</vt:lpstr>
      <vt:lpstr>CAPITAL_REDISTRIBUTION</vt:lpstr>
      <vt:lpstr>FUND_META_DASHBOARD</vt:lpstr>
      <vt:lpstr>STRATEGY_MUTATION_ENGINE</vt:lpstr>
      <vt:lpstr>PARAMETER_BREEDING_LAB</vt:lpstr>
      <vt:lpstr>DNA_SWAP_MATRIX</vt:lpstr>
      <vt:lpstr>EVOLUTION_SCORE_MEMORY</vt:lpstr>
      <vt:lpstr>EVOLUTION_CONTROL_PANEL</vt:lpstr>
      <vt:lpstr>SELF_IMPROVING_REGIME</vt:lpstr>
      <vt:lpstr>CROSS_MARKET_ADAPTIVE</vt:lpstr>
      <vt:lpstr>CAPITAL_FLOW_MODEL</vt:lpstr>
      <vt:lpstr>META_FUND_LAYER</vt:lpstr>
      <vt:lpstr>GLOBAL_LIQUIDITY_PROXY</vt:lpstr>
      <vt:lpstr>MACRO_RISK_THERMOMETER</vt:lpstr>
      <vt:lpstr>CAPITAL_SHOCK_ABSORBER</vt:lpstr>
      <vt:lpstr>CAPITAL_PRESERVATION_MODE</vt:lpstr>
      <vt:lpstr>GLOBAL_REGIME_SYNC</vt:lpstr>
      <vt:lpstr>CRISIS_SIM_MATRIX</vt:lpstr>
      <vt:lpstr>STRESS_PROPAGATION_MODEL</vt:lpstr>
      <vt:lpstr>RISK_OFF_ROTATION</vt:lpstr>
      <vt:lpstr>GLOBAL_CAPITAL_CYCLE</vt:lpstr>
      <vt:lpstr>SYSTEMIC_FRAGILITY_INDEX</vt:lpstr>
      <vt:lpstr>LIQUIDITY_VACUUM</vt:lpstr>
      <vt:lpstr>CAPITAL_MIGRATION_MATRIX</vt:lpstr>
      <vt:lpstr>AI_DECISION_FUSION</vt:lpstr>
      <vt:lpstr>AI_CONFIDENCE_CALIBRATOR</vt:lpstr>
      <vt:lpstr>AI_RISK_DISTRIBUTOR</vt:lpstr>
      <vt:lpstr>AI_AUTONOMOUS_LOOP</vt:lpstr>
      <vt:lpstr>AI_META_DASHBOARD</vt:lpstr>
      <vt:lpstr>LIVE_MACRO_RISK_GATE</vt:lpstr>
      <vt:lpstr>LIVE_STRATEGY_SELECTOR</vt:lpstr>
      <vt:lpstr>AI_MASTER_LIVE_DECISION</vt:lpstr>
      <vt:lpstr>CONFIG_CORE</vt:lpstr>
      <vt:lpstr>RISK_ENGINE</vt:lpstr>
      <vt:lpstr>POSITION_ENGINE</vt:lpstr>
      <vt:lpstr>TP_ENGINE</vt:lpstr>
      <vt:lpstr>KILL_SWITCH</vt:lpstr>
      <vt:lpstr>TRADE_FIREWALL</vt:lpstr>
      <vt:lpstr>AUTO_WIRE_MAP</vt:lpstr>
      <vt:lpstr>STRAT_VISIBILITY_PANEL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Zezva</cp:lastModifiedBy>
  <dcterms:created xsi:type="dcterms:W3CDTF">2026-02-11T21:39:17Z</dcterms:created>
  <dcterms:modified xsi:type="dcterms:W3CDTF">2026-02-19T15:43:26Z</dcterms:modified>
</cp:coreProperties>
</file>