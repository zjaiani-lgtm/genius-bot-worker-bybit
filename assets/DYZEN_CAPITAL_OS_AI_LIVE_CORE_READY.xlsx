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hidden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hidden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hidden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hidden" r:id="rId29"/>
    <sheet xmlns:r="http://schemas.openxmlformats.org/officeDocument/2006/relationships" name="PARALLEL_BACKTEST_MATRIX" sheetId="30" state="hidden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hidden" r:id="rId34"/>
    <sheet xmlns:r="http://schemas.openxmlformats.org/officeDocument/2006/relationships" name="PARAMETER_BREEDING_LAB" sheetId="35" state="hidden" r:id="rId35"/>
    <sheet xmlns:r="http://schemas.openxmlformats.org/officeDocument/2006/relationships" name="DNA_SWAP_MATRIX" sheetId="36" state="hidden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hidden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  <c r="E1" t="inlineStr">
        <is>
          <t>Active Strategy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IF(C2&lt;=2,"YES","NO")</f>
        <v/>
      </c>
      <c r="E2">
        <f>IF(OR(D2="YES", C2&gt;=1),"YES","NO")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IF(C3&lt;=2,"YES","NO")</f>
        <v/>
      </c>
      <c r="E3">
        <f>IF(OR(D3="YES", C3&gt;=1),"YES","NO")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IF(C4&lt;=2,"YES","NO")</f>
        <v/>
      </c>
      <c r="E4">
        <f>IF(OR(D4="YES", C4&gt;=1),"YES","NO")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IF(C5&lt;=2,"YES","NO")</f>
        <v/>
      </c>
      <c r="E5">
        <f>IF(OR(D5="YES", C5&gt;=1),"YES","NO")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IF(C6&lt;=2,"YES","NO")</f>
        <v/>
      </c>
      <c r="E6">
        <f>IF(OR(D6="YES", C6&gt;=1),"YES","NO")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  <c r="E1" t="inlineStr">
        <is>
          <t>Adaptive Buy Gate</t>
        </is>
      </c>
      <c r="F1" t="inlineStr">
        <is>
          <t>Adaptive Size Mult</t>
        </is>
      </c>
    </row>
    <row r="2">
      <c r="C2">
        <f>IF(LIVE_STRATEGY_SELECTOR!E2="YES","YES","NO")</f>
        <v/>
      </c>
      <c r="D2">
        <f>IF(AND(B2="ALLOW",C2="YES",A2&gt;0.52),"EXECUTE","STAND_BY")</f>
        <v/>
      </c>
      <c r="E2">
        <f>XLOOKUP("AI_CONFIDENCE_BUY_MIN",CONFIG_CORE!A:A,CONFIG_CORE!B:B)+IF(VOLATILITY_REGIME!D2="LOW",XLOOKUP("ADAPTIVE_CONF_LOW_VOL_DELTA",CONFIG_CORE!A:A,CONFIG_CORE!B:B),IF(VOLATILITY_REGIME!D2="HIGH",XLOOKUP("ADAPTIVE_CONF_HIGH_VOL_DELTA",CONFIG_CORE!A:A,CONFIG_CORE!B:B),0))</f>
        <v/>
      </c>
      <c r="F2">
        <f>IF(VOLATILITY_REGIME!C2&gt;=XLOOKUP("MIN_VOL_FOR_AGGRESSION",CONFIG_CORE!A:A,CONFIG_CORE!B:B),XLOOKUP("AGGRESSION_SIZE_BOOST",CONFIG_CORE!A:A,CONFIG_CORE!B:B),1)</f>
        <v/>
      </c>
    </row>
    <row r="3">
      <c r="C3">
        <f>IF(LIVE_STRATEGY_SELECTOR!E3="YES","YES","NO")</f>
        <v/>
      </c>
      <c r="D3">
        <f>IF(AND(B3="ALLOW",C3="YES",A3&gt;0.52),"EXECUTE","STAND_BY")</f>
        <v/>
      </c>
    </row>
    <row r="4">
      <c r="C4">
        <f>IF(LIVE_STRATEGY_SELECTOR!E4="YES","YES","NO")</f>
        <v/>
      </c>
      <c r="D4">
        <f>IF(AND(B4="ALLOW",C4="YES",A4&gt;0.52),"EXECUTE","STAND_BY")</f>
        <v/>
      </c>
    </row>
    <row r="5">
      <c r="C5">
        <f>IF(LIVE_STRATEGY_SELECTOR!E5="YES","YES","NO")</f>
        <v/>
      </c>
      <c r="D5">
        <f>IF(AND(B5="ALLOW",C5="YES",A5&gt;0.52),"EXECUTE","STAND_BY")</f>
        <v/>
      </c>
    </row>
    <row r="6">
      <c r="C6">
        <f>IF(LIVE_STRATEGY_SELECTOR!E6="YES","YES","NO")</f>
        <v/>
      </c>
      <c r="D6">
        <f>IF(AND(B6="ALLOW",C6="YES",A6&gt;0.52),"EXECUTE","STAND_BY")</f>
        <v/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0.54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0.52</v>
      </c>
    </row>
    <row r="11">
      <c r="A11" t="inlineStr">
        <is>
          <t>VOLATILITY_STATE_BLOCK_LOW</t>
        </is>
      </c>
      <c r="B11" t="inlineStr">
        <is>
          <t>FALSE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0.45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  <row r="21">
      <c r="A21" t="inlineStr">
        <is>
          <t>ADAPTIVE_CONF_LOW_VOL_DELTA</t>
        </is>
      </c>
      <c r="B21" t="n">
        <v>-0.005</v>
      </c>
      <c r="C21" t="inlineStr">
        <is>
          <t>adaptive buy delta low vol</t>
        </is>
      </c>
    </row>
    <row r="22">
      <c r="A22" t="inlineStr">
        <is>
          <t>ADAPTIVE_CONF_HIGH_VOL_DELTA</t>
        </is>
      </c>
      <c r="B22" t="n">
        <v>0.004</v>
      </c>
      <c r="C22" t="inlineStr">
        <is>
          <t>adaptive buy delta high vol</t>
        </is>
      </c>
    </row>
    <row r="23">
      <c r="A23" t="inlineStr">
        <is>
          <t>MIN_VOL_FOR_AGGRESSION</t>
        </is>
      </c>
      <c r="B23" t="n">
        <v>0.1</v>
      </c>
      <c r="C23" t="inlineStr">
        <is>
          <t>size boost trigger</t>
        </is>
      </c>
    </row>
    <row r="24">
      <c r="A24" t="inlineStr">
        <is>
          <t>AGGRESSION_SIZE_BOOST</t>
        </is>
      </c>
      <c r="B24" t="n">
        <v>1.15</v>
      </c>
      <c r="C24" t="inlineStr">
        <is>
          <t>size multiplier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</row>
    <row r="3">
      <c r="A3" t="inlineStr">
        <is>
          <t>RISK_PASS</t>
        </is>
      </c>
      <c r="B3">
        <f>IF('EXECUTION_REALITY'!E2="OK","PASS","BLOCK")</f>
        <v/>
      </c>
    </row>
    <row r="4">
      <c r="A4" t="inlineStr">
        <is>
          <t>STRAT_WINNER_PRESENT</t>
        </is>
      </c>
      <c r="B4">
        <f>IF(COUNTIF('LIVE_STRATEGY_SELECTOR'!D2:D6,"YES")&gt;0,"PASS","BLOCK")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2026-02-19T15:26:27Z</dcterms:modified>
</cp:coreProperties>
</file>