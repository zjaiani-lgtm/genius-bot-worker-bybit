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CORE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SIGNAL_OUTBOX" sheetId="4" state="visible" r:id="rId4"/>
    <sheet xmlns:r="http://schemas.openxmlformats.org/officeDocument/2006/relationships" name="VOLATILITY_REGIME" sheetId="5" state="visible" r:id="rId5"/>
    <sheet xmlns:r="http://schemas.openxmlformats.org/officeDocument/2006/relationships" name="TRADE_FREQUENCY_GOVERNOR" sheetId="6" state="visible" r:id="rId6"/>
    <sheet xmlns:r="http://schemas.openxmlformats.org/officeDocument/2006/relationships" name="CAPITAL_PRESERVATION_MODE" sheetId="7" state="visible" r:id="rId7"/>
    <sheet xmlns:r="http://schemas.openxmlformats.org/officeDocument/2006/relationships" name="SLIPPAGE_CONTROL" sheetId="8" state="visible" r:id="rId8"/>
    <sheet xmlns:r="http://schemas.openxmlformats.org/officeDocument/2006/relationships" name="ROLLING_EDGE_MONITOR" sheetId="9" state="visible" r:id="rId9"/>
    <sheet xmlns:r="http://schemas.openxmlformats.org/officeDocument/2006/relationships" name="PORTFOLIO_RISK_ENGINE" sheetId="10" state="visible" r:id="rId10"/>
    <sheet xmlns:r="http://schemas.openxmlformats.org/officeDocument/2006/relationships" name="PYTHON_BRIDGE" sheetId="11" state="visible" r:id="rId11"/>
    <sheet xmlns:r="http://schemas.openxmlformats.org/officeDocument/2006/relationships" name="AI_HELPERS" sheetId="12" state="visible" r:id="rId12"/>
    <sheet xmlns:r="http://schemas.openxmlformats.org/officeDocument/2006/relationships" name="AI_INSTITUTIONAL" sheetId="13" state="visible" r:id="rId13"/>
    <sheet xmlns:r="http://schemas.openxmlformats.org/officeDocument/2006/relationships" name="INSTITUTIONAL_HARDENING" sheetId="14" state="visible" r:id="rId14"/>
    <sheet xmlns:r="http://schemas.openxmlformats.org/officeDocument/2006/relationships" name="MRJ_PARAMETERS" sheetId="15" state="visible" r:id="rId15"/>
    <sheet xmlns:r="http://schemas.openxmlformats.org/officeDocument/2006/relationships" name="CONFIDENCE_PIPELINE" sheetId="16" state="visible" r:id="rId16"/>
    <sheet xmlns:r="http://schemas.openxmlformats.org/officeDocument/2006/relationships" name="SIGNAL_GATING" sheetId="17" state="visible" r:id="rId17"/>
    <sheet xmlns:r="http://schemas.openxmlformats.org/officeDocument/2006/relationships" name="ADAPTIVE_FEEDBACK" sheetId="18" state="visible" r:id="rId18"/>
  </sheets>
  <definedNames>
    <definedName name="confidence_score">'PYTHON_BRIDGE'!$B$7</definedName>
    <definedName name="volatility_regime">'PYTHON_BRIDGE'!$B$8</definedName>
    <definedName name="volume_score">'PYTHON_BRIDGE'!$B$9</definedName>
    <definedName name="trend_strength">'PYTHON_BRIDGE'!$B$10</definedName>
    <definedName name="structure_ok">'PYTHON_BRIDGE'!$B$11</definedName>
    <definedName name="symbol_name">'PYTHON_BRIDGE'!$B$12</definedName>
    <definedName name="DD_SOFT">'MRJ_PARAMETERS'!$B2$</definedName>
    <definedName name="DD_HARD">'MRJ_PARAMETERS'!$B3$</definedName>
    <definedName name="DD_EMERG">'MRJ_PARAMETERS'!$B4$</definedName>
    <definedName name="LATENCY_MAX_MS">'MRJ_PARAMETERS'!$B5$</definedName>
    <definedName name="LOSS_SCALE">'MRJ_PARAMETERS'!$B6$</definedName>
    <definedName name="ATR_PCTL">'PYTHON_BRIDGE'!$A2$</definedName>
    <definedName name="CONF_RAW">'PYTHON_BRIDGE'!$A3$</definedName>
    <definedName name="LATENCY_MS">'PYTHON_BRIDGE'!$A4$</definedName>
    <definedName name="RECENT_LOSSES">'PYTHON_BRIDGE'!$A5$</definedName>
    <definedName name="DRAWDOWN">'PYTHON_BRIDGE'!$A6$</definedName>
    <definedName name="PRICE">'CORE'!$B$1</definedName>
    <definedName name="VOLUME">'CORE'!$B$2</definedName>
    <definedName name="AI_DECISION">'CORE'!$B$3</definedName>
    <definedName name="CONFIDENCE">'CORE'!$B$4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  <c r="B1" t="n">
        <v>0</v>
      </c>
    </row>
    <row r="2">
      <c r="A2" t="inlineStr">
        <is>
          <t>VOLUME</t>
        </is>
      </c>
      <c r="B2" t="n">
        <v>0</v>
      </c>
    </row>
    <row r="3">
      <c r="A3" t="inlineStr">
        <is>
          <t>AI_DECISION</t>
        </is>
      </c>
      <c r="B3" t="inlineStr">
        <is>
          <t>HOLD</t>
        </is>
      </c>
    </row>
    <row r="4">
      <c r="A4" t="inlineStr">
        <is>
          <t>CONFIDENCE</t>
        </is>
      </c>
      <c r="B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  <c r="Z1" t="inlineStr">
        <is>
          <t>ALLOW_TRADE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  <c r="Z2">
        <f>'SIGNAL_GATING'!C4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IF(G2="","",G2*0.5)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IF(G3="","",G3*0.5)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IF(G4="","",G4*0.5)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IF(G5="","",G5*0.5)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IF(G6="","",G6*0.5)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  <row r="7">
      <c r="A7" t="inlineStr">
        <is>
          <t>confidence_score_input</t>
        </is>
      </c>
      <c r="B7" t="n">
        <v>0</v>
      </c>
    </row>
    <row r="8">
      <c r="A8" t="inlineStr">
        <is>
          <t>volatility_regime_input</t>
        </is>
      </c>
      <c r="B8" t="n">
        <v>0</v>
      </c>
    </row>
    <row r="9">
      <c r="A9" t="inlineStr">
        <is>
          <t>volume_score_input</t>
        </is>
      </c>
      <c r="B9" t="n">
        <v>0</v>
      </c>
    </row>
    <row r="10">
      <c r="A10" t="inlineStr">
        <is>
          <t>trend_strength_input</t>
        </is>
      </c>
      <c r="B10" t="n">
        <v>0</v>
      </c>
    </row>
    <row r="11">
      <c r="A11" t="inlineStr">
        <is>
          <t>structure_ok_input</t>
        </is>
      </c>
      <c r="B11" t="n">
        <v>0</v>
      </c>
    </row>
    <row r="12">
      <c r="A12" t="inlineStr">
        <is>
          <t>symbol_name_input</t>
        </is>
      </c>
      <c r="B12" t="inlineStr">
        <is>
          <t>BTC/USDT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  <c r="Z1" t="inlineStr">
        <is>
          <t>EXCHANGE_HEALTH_SCORE</t>
        </is>
      </c>
      <c r="AA1" t="inlineStr">
        <is>
          <t>RISK_OFF_FLAG</t>
        </is>
      </c>
    </row>
    <row r="2">
      <c r="A2" t="inlineStr">
        <is>
          <t>CONF_ADJ</t>
        </is>
      </c>
      <c r="B2">
        <f>confidence_score * IF(volatility_regime="EXTREME",0.7,1)</f>
        <v/>
      </c>
      <c r="C2" t="inlineStr">
        <is>
          <t>Confidence adjusted by volatility regime</t>
        </is>
      </c>
      <c r="Z2">
        <f>'INSTITUTIONAL_HARDENING'!F4</f>
        <v/>
      </c>
      <c r="AA2">
        <f>'INSTITUTIONAL_HARDENING'!F7</f>
        <v/>
      </c>
    </row>
    <row r="3">
      <c r="A3" t="inlineStr">
        <is>
          <t>VOL_OK</t>
        </is>
      </c>
      <c r="B3">
        <f>volume_score&gt;0.35</f>
        <v/>
      </c>
      <c r="C3" t="inlineStr">
        <is>
          <t>Volume confirmation gate</t>
        </is>
      </c>
    </row>
    <row r="4">
      <c r="A4" t="inlineStr">
        <is>
          <t>TREND_OK</t>
        </is>
      </c>
      <c r="B4">
        <f>trend_strength&gt;0.42</f>
        <v/>
      </c>
      <c r="C4" t="inlineStr">
        <is>
          <t>Trend persistence helper</t>
        </is>
      </c>
    </row>
    <row r="5">
      <c r="A5" t="inlineStr">
        <is>
          <t>STRUCT_WEIGHT</t>
        </is>
      </c>
      <c r="B5">
        <f>IF(structure_ok,1,0.6)</f>
        <v/>
      </c>
      <c r="C5" t="inlineStr">
        <is>
          <t>Soft structure weighting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REGIME_MEMORY</t>
        </is>
      </c>
      <c r="B2">
        <f>IF(volatility_regime="LOW",0.7,IF(volatility_regime="EXTREME",0.6,1))</f>
        <v/>
      </c>
      <c r="C2" t="inlineStr">
        <is>
          <t>Institutional regime memory proxy</t>
        </is>
      </c>
    </row>
    <row r="3">
      <c r="A3" t="inlineStr">
        <is>
          <t>CONF_DYNAMIC</t>
        </is>
      </c>
      <c r="B3">
        <f>MIN(1, CONF_ADJ * REGIME_MEMORY * (0.75 + trend_strength*0.5))</f>
        <v/>
      </c>
      <c r="C3" t="inlineStr">
        <is>
          <t>Mr. JAIANI adaptive confidence</t>
        </is>
      </c>
    </row>
    <row r="4">
      <c r="A4" t="inlineStr">
        <is>
          <t>TP_ADAPTIVE</t>
        </is>
      </c>
      <c r="B4">
        <f>IF(volatility_regime="EXTREME",1.6,IF(volatility_regime="LOW",0.9,1.3))</f>
        <v/>
      </c>
      <c r="C4" t="inlineStr">
        <is>
          <t>Volatility adaptive TP suggestion</t>
        </is>
      </c>
    </row>
    <row r="5">
      <c r="A5" t="inlineStr">
        <is>
          <t>SIZE_MULTIPLIER</t>
        </is>
      </c>
      <c r="B5">
        <f>MIN(1.5,MAX(0.5,0.6 + trend_strength*0.8))</f>
        <v/>
      </c>
      <c r="C5" t="inlineStr">
        <is>
          <t>Smart position scaling</t>
        </is>
      </c>
    </row>
    <row r="6">
      <c r="A6" t="inlineStr">
        <is>
          <t>POSITION_SIZE_FACTOR</t>
        </is>
      </c>
      <c r="B6">
        <f>SIZE_MULTIPLIER * CONF_DYNAMIC</f>
        <v/>
      </c>
      <c r="C6" t="inlineStr">
        <is>
          <t>Final position scaling factor</t>
        </is>
      </c>
    </row>
    <row r="8">
      <c r="A8" t="inlineStr">
        <is>
          <t>SYMBOL_HASH</t>
        </is>
      </c>
      <c r="B8">
        <f>LEN(symbol_name)</f>
        <v/>
      </c>
      <c r="C8" t="inlineStr">
        <is>
          <t>Symbol hash proxy</t>
        </is>
      </c>
    </row>
    <row r="9">
      <c r="A9" t="inlineStr">
        <is>
          <t>SYMBOL_FACTOR</t>
        </is>
      </c>
      <c r="B9">
        <f>1 + (MOD(SYMBOL_HASH,5)-2)/50</f>
        <v/>
      </c>
      <c r="C9" t="inlineStr">
        <is>
          <t>Per-symbol intelligence factor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MODULE</t>
        </is>
      </c>
      <c r="B1" s="1" t="inlineStr">
        <is>
          <t>METRIC</t>
        </is>
      </c>
      <c r="C1" s="1" t="inlineStr">
        <is>
          <t>INPUT</t>
        </is>
      </c>
      <c r="D1" s="1" t="inlineStr">
        <is>
          <t>FORMULA / LOGIC</t>
        </is>
      </c>
      <c r="E1" s="1" t="inlineStr">
        <is>
          <t>OUTPUT_NAME</t>
        </is>
      </c>
      <c r="F1" s="1" t="inlineStr">
        <is>
          <t>OUTPUT_VALUE</t>
        </is>
      </c>
    </row>
    <row r="2">
      <c r="A2" t="inlineStr">
        <is>
          <t>Chop Killer v2</t>
        </is>
      </c>
      <c r="B2" t="inlineStr">
        <is>
          <t>ATR Compression</t>
        </is>
      </c>
      <c r="C2" t="inlineStr">
        <is>
          <t>ATR_PCTL</t>
        </is>
      </c>
      <c r="D2">
        <f>IF(ATR_PCTL&lt;0.25,1,IF(ATR_PCTL&lt;0.4,0.5,0))</f>
        <v/>
      </c>
      <c r="E2" t="inlineStr">
        <is>
          <t>CHOP_FILTER</t>
        </is>
      </c>
      <c r="F2">
        <f>D2</f>
        <v/>
      </c>
    </row>
    <row r="3">
      <c r="A3" t="inlineStr">
        <is>
          <t>Confidence Realism</t>
        </is>
      </c>
      <c r="B3" t="inlineStr">
        <is>
          <t>Diminishing Curve</t>
        </is>
      </c>
      <c r="C3" t="inlineStr">
        <is>
          <t>CONF_RAW</t>
        </is>
      </c>
      <c r="D3">
        <f>1-EXP(-3*CONF_RAW)</f>
        <v/>
      </c>
      <c r="E3" t="inlineStr">
        <is>
          <t>CONF_REAL</t>
        </is>
      </c>
      <c r="F3">
        <f>D3</f>
        <v/>
      </c>
    </row>
    <row r="4">
      <c r="A4" t="inlineStr">
        <is>
          <t>Exchange Health</t>
        </is>
      </c>
      <c r="B4" t="inlineStr">
        <is>
          <t>Health Score</t>
        </is>
      </c>
      <c r="C4" t="inlineStr">
        <is>
          <t>LATENCY_MS</t>
        </is>
      </c>
      <c r="D4">
        <f>MAX(0,MIN(1,1-(LATENCY_MS/LATENCY_MAX_MS)))</f>
        <v/>
      </c>
      <c r="E4" t="inlineStr">
        <is>
          <t>EXCHANGE_HEALTH_SCORE</t>
        </is>
      </c>
      <c r="F4">
        <f>D4</f>
        <v/>
      </c>
    </row>
    <row r="5">
      <c r="A5" t="inlineStr">
        <is>
          <t>Volatility Engine</t>
        </is>
      </c>
      <c r="B5" t="inlineStr">
        <is>
          <t>Vol State</t>
        </is>
      </c>
      <c r="C5" t="inlineStr">
        <is>
          <t>ATR_PCTL</t>
        </is>
      </c>
      <c r="D5">
        <f>IF(ATR_PCTL&gt;0.8,"HIGH",IF(ATR_PCTL&lt;0.2,"LOW","MID"))</f>
        <v/>
      </c>
      <c r="E5" t="inlineStr">
        <is>
          <t>VOL_STATE</t>
        </is>
      </c>
      <c r="F5">
        <f>D5</f>
        <v/>
      </c>
    </row>
    <row r="6">
      <c r="A6" t="inlineStr">
        <is>
          <t>Adaptive Cooldown</t>
        </is>
      </c>
      <c r="B6" t="inlineStr">
        <is>
          <t>Cooldown Weight</t>
        </is>
      </c>
      <c r="C6" t="inlineStr">
        <is>
          <t>RECENT_LOSSES</t>
        </is>
      </c>
      <c r="D6">
        <f>MIN(1,RECENT_LOSSES/LOSS_SCALE)</f>
        <v/>
      </c>
      <c r="E6" t="inlineStr">
        <is>
          <t>COOLDOWN_WEIGHT</t>
        </is>
      </c>
      <c r="F6">
        <f>D6</f>
        <v/>
      </c>
    </row>
    <row r="7">
      <c r="A7" t="inlineStr">
        <is>
          <t>Kill Switch L1</t>
        </is>
      </c>
      <c r="B7" t="inlineStr">
        <is>
          <t>Soft Risk Off</t>
        </is>
      </c>
      <c r="C7" t="inlineStr">
        <is>
          <t>DRAWDOWN</t>
        </is>
      </c>
      <c r="D7">
        <f>IF(DRAWDOWN&gt;DD_SOFT,1,0)</f>
        <v/>
      </c>
      <c r="E7" t="inlineStr">
        <is>
          <t>RISK_OFF_FLAG</t>
        </is>
      </c>
      <c r="F7">
        <f>D7</f>
        <v/>
      </c>
    </row>
    <row r="8">
      <c r="A8" t="inlineStr">
        <is>
          <t>Kill Switch L2</t>
        </is>
      </c>
      <c r="B8" t="inlineStr">
        <is>
          <t>Hard Stop</t>
        </is>
      </c>
      <c r="C8" t="inlineStr">
        <is>
          <t>DRAWDOWN</t>
        </is>
      </c>
      <c r="D8">
        <f>IF(DRAWDOWN&gt;DD_HARD,1,0)</f>
        <v/>
      </c>
      <c r="E8" t="inlineStr">
        <is>
          <t>HARD_STOP_FLAG</t>
        </is>
      </c>
      <c r="F8">
        <f>D8</f>
        <v/>
      </c>
    </row>
    <row r="9">
      <c r="A9" t="inlineStr">
        <is>
          <t>Kill Switch L3</t>
        </is>
      </c>
      <c r="B9" t="inlineStr">
        <is>
          <t>Emergency</t>
        </is>
      </c>
      <c r="C9" t="inlineStr">
        <is>
          <t>DRAWDOWN</t>
        </is>
      </c>
      <c r="D9">
        <f>IF(DRAWDOWN&gt;DD_EMERG,1,0)</f>
        <v/>
      </c>
      <c r="E9" t="inlineStr">
        <is>
          <t>EMERGENCY_FLAG</t>
        </is>
      </c>
      <c r="F9">
        <f>D9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</t>
        </is>
      </c>
      <c r="B1" s="1" t="inlineStr">
        <is>
          <t>VALUE</t>
        </is>
      </c>
    </row>
    <row r="2">
      <c r="A2" t="inlineStr">
        <is>
          <t>DD_SOFT</t>
        </is>
      </c>
      <c r="B2" t="n">
        <v>0.08</v>
      </c>
    </row>
    <row r="3">
      <c r="A3" t="inlineStr">
        <is>
          <t>DD_HARD</t>
        </is>
      </c>
      <c r="B3" t="n">
        <v>0.15</v>
      </c>
    </row>
    <row r="4">
      <c r="A4" t="inlineStr">
        <is>
          <t>DD_EMERG</t>
        </is>
      </c>
      <c r="B4" t="n">
        <v>0.25</v>
      </c>
    </row>
    <row r="5">
      <c r="A5" t="inlineStr">
        <is>
          <t>LATENCY_MAX_MS</t>
        </is>
      </c>
      <c r="B5" t="n">
        <v>500</v>
      </c>
    </row>
    <row r="6">
      <c r="A6" t="inlineStr">
        <is>
          <t>LOSS_SCALE</t>
        </is>
      </c>
      <c r="B6" t="n">
        <v>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FORMULA</t>
        </is>
      </c>
      <c r="C1" s="1" t="inlineStr">
        <is>
          <t>OUTPUT</t>
        </is>
      </c>
    </row>
    <row r="2">
      <c r="A2" t="inlineStr">
        <is>
          <t>CONF_BASE</t>
        </is>
      </c>
      <c r="B2">
        <f>CONF_RAW</f>
        <v/>
      </c>
      <c r="C2">
        <f>B2</f>
        <v/>
      </c>
    </row>
    <row r="3">
      <c r="A3" t="inlineStr">
        <is>
          <t>HEALTH_DAMP</t>
        </is>
      </c>
      <c r="B3">
        <f>'INSTITUTIONAL_HARDENING'!F4</f>
        <v/>
      </c>
      <c r="C3">
        <f>B3</f>
        <v/>
      </c>
    </row>
    <row r="4">
      <c r="A4" t="inlineStr">
        <is>
          <t>RISK_DAMP</t>
        </is>
      </c>
      <c r="B4">
        <f>IF('INSTITUTIONAL_HARDENING'!F7=1,0.5,1)</f>
        <v/>
      </c>
      <c r="C4">
        <f>B4</f>
        <v/>
      </c>
    </row>
    <row r="5">
      <c r="A5" t="inlineStr">
        <is>
          <t>CONF_FINAL</t>
        </is>
      </c>
      <c r="B5">
        <f>MAX(0,MIN(1,C2*C3*C4))</f>
        <v/>
      </c>
      <c r="C5">
        <f>B5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</t>
        </is>
      </c>
      <c r="B1" s="1" t="inlineStr">
        <is>
          <t>FORMULA</t>
        </is>
      </c>
      <c r="C1" s="1" t="inlineStr">
        <is>
          <t>ALLOW_TRADE</t>
        </is>
      </c>
    </row>
    <row r="2">
      <c r="A2" t="inlineStr">
        <is>
          <t>KILL_SWITCH_BLOCK</t>
        </is>
      </c>
      <c r="B2">
        <f>IF('INSTITUTIONAL_HARDENING'!F8=1,0,1)</f>
        <v/>
      </c>
      <c r="C2">
        <f>B2</f>
        <v/>
      </c>
    </row>
    <row r="3">
      <c r="A3" t="inlineStr">
        <is>
          <t>EMERGENCY_BLOCK</t>
        </is>
      </c>
      <c r="B3">
        <f>IF('INSTITUTIONAL_HARDENING'!F9=1,0,1)</f>
        <v/>
      </c>
      <c r="C3">
        <f>B3</f>
        <v/>
      </c>
    </row>
    <row r="4">
      <c r="A4" t="inlineStr">
        <is>
          <t>MASTER_ALLOW</t>
        </is>
      </c>
      <c r="B4">
        <f>MIN(C2,C3)</f>
        <v/>
      </c>
      <c r="C4">
        <f>B4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LOOP</t>
        </is>
      </c>
      <c r="B1" s="1" t="inlineStr">
        <is>
          <t>FORMULA</t>
        </is>
      </c>
      <c r="C1" s="1" t="inlineStr">
        <is>
          <t>OUTPUT</t>
        </is>
      </c>
    </row>
    <row r="2">
      <c r="A2" t="inlineStr">
        <is>
          <t>COOLDOWN_VOL_COUPLING</t>
        </is>
      </c>
      <c r="B2">
        <f>MIN(1,ATR_PCTL*'INSTITUTIONAL_HARDENING'!F6)</f>
        <v/>
      </c>
      <c r="C2">
        <f>B2</f>
        <v/>
      </c>
    </row>
    <row r="3">
      <c r="A3" t="inlineStr">
        <is>
          <t>HEALTH_SIZE_SCALE</t>
        </is>
      </c>
      <c r="B3">
        <f>'INSTITUTIONAL_HARDENING'!F4</f>
        <v/>
      </c>
      <c r="C3">
        <f>B3</f>
        <v/>
      </c>
    </row>
    <row r="4">
      <c r="A4" t="inlineStr">
        <is>
          <t>DD_SIZE_SCALE</t>
        </is>
      </c>
      <c r="B4">
        <f>IF(DRAWDOWN&gt;DD_SOFT,0.7,1)</f>
        <v/>
      </c>
      <c r="C4">
        <f>B4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2026-02-23T20:04:04Z</dcterms:modified>
  <cp:lastModifiedBy>Zezva</cp:lastModifiedBy>
</cp:coreProperties>
</file>