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  <sheet xmlns:r="http://schemas.openxmlformats.org/officeDocument/2006/relationships" name="PYTHON_BRIDGE" sheetId="10" state="visible" r:id="rId10"/>
    <sheet xmlns:r="http://schemas.openxmlformats.org/officeDocument/2006/relationships" name="AI_HELPERS" sheetId="11" state="visible" r:id="rId11"/>
    <sheet xmlns:r="http://schemas.openxmlformats.org/officeDocument/2006/relationships" name="AI_INSTITUTIONAL" sheetId="12" state="visible" r:id="rId12"/>
  </sheets>
  <definedNames>
    <definedName name="confidence_score">'PYTHON_BRIDGE'!$B$7</definedName>
    <definedName name="volatility_regime">'PYTHON_BRIDGE'!$B$8</definedName>
    <definedName name="volume_score">'PYTHON_BRIDGE'!$B$9</definedName>
    <definedName name="trend_strength">'PYTHON_BRIDGE'!$B$10</definedName>
    <definedName name="structure_ok">'PYTHON_BRIDGE'!$B$11</definedName>
    <definedName name="symbol_name">'PYTHON_BRIDGE'!$B$12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IF(G2="","",G2*0.5)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IF(G3="","",G3*0.5)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IF(G4="","",G4*0.5)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IF(G5="","",G5*0.5)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IF(G6="","",G6*0.5)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  <row r="7">
      <c r="A7" t="inlineStr">
        <is>
          <t>confidence_score_input</t>
        </is>
      </c>
      <c r="B7" t="n">
        <v>0</v>
      </c>
    </row>
    <row r="8">
      <c r="A8" t="inlineStr">
        <is>
          <t>volatility_regime_input</t>
        </is>
      </c>
      <c r="B8" t="n">
        <v>0</v>
      </c>
    </row>
    <row r="9">
      <c r="A9" t="inlineStr">
        <is>
          <t>volume_score_input</t>
        </is>
      </c>
      <c r="B9" t="n">
        <v>0</v>
      </c>
    </row>
    <row r="10">
      <c r="A10" t="inlineStr">
        <is>
          <t>trend_strength_input</t>
        </is>
      </c>
      <c r="B10" t="n">
        <v>0</v>
      </c>
    </row>
    <row r="11">
      <c r="A11" t="inlineStr">
        <is>
          <t>structure_ok_input</t>
        </is>
      </c>
      <c r="B11" t="n">
        <v>0</v>
      </c>
    </row>
    <row r="12">
      <c r="A12" t="inlineStr">
        <is>
          <t>symbol_name_input</t>
        </is>
      </c>
      <c r="B12" t="inlineStr">
        <is>
          <t>BTC/USDT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CONF_ADJ</t>
        </is>
      </c>
      <c r="B2">
        <f>confidence_score * IF(volatility_regime="EXTREME",0.7,1)</f>
        <v/>
      </c>
      <c r="C2" t="inlineStr">
        <is>
          <t>Confidence adjusted by volatility regime</t>
        </is>
      </c>
    </row>
    <row r="3">
      <c r="A3" t="inlineStr">
        <is>
          <t>VOL_OK</t>
        </is>
      </c>
      <c r="B3">
        <f>volume_score&gt;0.35</f>
        <v/>
      </c>
      <c r="C3" t="inlineStr">
        <is>
          <t>Volume confirmation gate</t>
        </is>
      </c>
    </row>
    <row r="4">
      <c r="A4" t="inlineStr">
        <is>
          <t>TREND_OK</t>
        </is>
      </c>
      <c r="B4">
        <f>trend_strength&gt;0.55</f>
        <v/>
      </c>
      <c r="C4" t="inlineStr">
        <is>
          <t>Trend persistence helper</t>
        </is>
      </c>
    </row>
    <row r="5">
      <c r="A5" t="inlineStr">
        <is>
          <t>STRUCT_WEIGHT</t>
        </is>
      </c>
      <c r="B5">
        <f>IF(structure_ok,1,0.6)</f>
        <v/>
      </c>
      <c r="C5" t="inlineStr">
        <is>
          <t>Soft structure weighting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REGIME_MEMORY</t>
        </is>
      </c>
      <c r="B2">
        <f>IF(volatility_regime="LOW",0.7,IF(volatility_regime="EXTREME",0.6,1))</f>
        <v/>
      </c>
      <c r="C2" t="inlineStr">
        <is>
          <t>Institutional regime memory proxy</t>
        </is>
      </c>
    </row>
    <row r="3">
      <c r="A3" t="inlineStr">
        <is>
          <t>CONF_DYNAMIC</t>
        </is>
      </c>
      <c r="B3">
        <f>MIN(1, CONF_ADJ * REGIME_MEMORY * (0.75 + trend_strength*0.5))</f>
        <v/>
      </c>
      <c r="C3" t="inlineStr">
        <is>
          <t>Mr. JAIANI adaptive confidence</t>
        </is>
      </c>
    </row>
    <row r="4">
      <c r="A4" t="inlineStr">
        <is>
          <t>TP_ADAPTIVE</t>
        </is>
      </c>
      <c r="B4">
        <f>IF(volatility_regime="EXTREME",1.6,IF(volatility_regime="LOW",0.9,1.3))</f>
        <v/>
      </c>
      <c r="C4" t="inlineStr">
        <is>
          <t>Volatility adaptive TP suggestion</t>
        </is>
      </c>
    </row>
    <row r="5">
      <c r="A5" t="inlineStr">
        <is>
          <t>SIZE_MULTIPLIER</t>
        </is>
      </c>
      <c r="B5">
        <f>MIN(1.5,MAX(0.5,0.6 + trend_strength*0.8))</f>
        <v/>
      </c>
      <c r="C5" t="inlineStr">
        <is>
          <t>Smart position scaling</t>
        </is>
      </c>
    </row>
    <row r="6">
      <c r="A6" t="inlineStr">
        <is>
          <t>POSITION_SIZE_FACTOR</t>
        </is>
      </c>
      <c r="B6">
        <f>SIZE_MULTIPLIER * CONF_DYNAMIC</f>
        <v/>
      </c>
      <c r="C6" t="inlineStr">
        <is>
          <t>Final position scaling factor</t>
        </is>
      </c>
    </row>
    <row r="8">
      <c r="A8" t="inlineStr">
        <is>
          <t>SYMBOL_HASH</t>
        </is>
      </c>
      <c r="B8">
        <f>LEN(symbol_name)</f>
        <v/>
      </c>
      <c r="C8" t="inlineStr">
        <is>
          <t>Symbol hash proxy</t>
        </is>
      </c>
    </row>
    <row r="9">
      <c r="A9" t="inlineStr">
        <is>
          <t>SYMBOL_FACTOR</t>
        </is>
      </c>
      <c r="B9">
        <f>1 + (MOD(SYMBOL_HASH,5)-2)/50</f>
        <v/>
      </c>
      <c r="C9" t="inlineStr">
        <is>
          <t>Per-symbol intelligence factor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2026-02-23T17:28:44Z</dcterms:modified>
  <cp:lastModifiedBy>Zezva</cp:lastModifiedBy>
</cp:coreProperties>
</file>